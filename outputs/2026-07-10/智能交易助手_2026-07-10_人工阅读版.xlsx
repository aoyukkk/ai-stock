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f780cb294544723" /></Relationships>
</file>

<file path=xl/workbook.xml><?xml version="1.0" encoding="utf-8"?>
<x:workbook xmlns:x="http://schemas.openxmlformats.org/spreadsheetml/2006/main">
  <x:sheets>
    <x:sheet xmlns:r="http://schemas.openxmlformats.org/officeDocument/2006/relationships" name="今日概览" sheetId="1" r:id="R51dfd40aa2a34b62"/>
    <x:sheet xmlns:r="http://schemas.openxmlformats.org/officeDocument/2006/relationships" name="重点候选" sheetId="2" r:id="R55f5c33bfc7f4e53"/>
    <x:sheet xmlns:r="http://schemas.openxmlformats.org/officeDocument/2006/relationships" name="挂单与仓位" sheetId="3" r:id="Rbf6d46dcc46a4862"/>
    <x:sheet xmlns:r="http://schemas.openxmlformats.org/officeDocument/2006/relationships" name="基本面摘要" sheetId="4" r:id="R52752afb0fc54fb1"/>
    <x:sheet xmlns:r="http://schemas.openxmlformats.org/officeDocument/2006/relationships" name="量化前100" sheetId="5" r:id="Rfacdcce47dbd4f67"/>
    <x:sheet xmlns:r="http://schemas.openxmlformats.org/officeDocument/2006/relationships" name="当前问题" sheetId="6" r:id="R4c3484bc901649c9"/>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
    <x:numFmt numFmtId="201" formatCode="0.00"/>
    <x:numFmt numFmtId="202" formatCode="0.00%"/>
    <x:numFmt numFmtId="203" formatCode="#,##0"/>
    <x:numFmt numFmtId="204" formatCode="#,##0.00"/>
  </x:numFmts>
  <x:fonts count="8">
    <x:font>
      <x:sz val="11"/>
      <x:name val="Carlito"/>
    </x:font>
    <x:font>
      <x:b/>
      <x:sz val="18"/>
      <x:color rgb="FFFFFFFF"/>
      <x:name val="Carlito"/>
    </x:font>
    <x:font>
      <x:sz val="10"/>
      <x:color rgb="FF2F6B66"/>
      <x:name val="Carlito"/>
    </x:font>
    <x:font>
      <x:b/>
      <x:sz val="10"/>
      <x:color rgb="FF17365D"/>
      <x:name val="Carlito"/>
    </x:font>
    <x:font>
      <x:b/>
      <x:sz val="18"/>
      <x:color rgb="FF1F2933"/>
      <x:name val="Carlito"/>
    </x:font>
    <x:font>
      <x:b/>
      <x:sz val="11"/>
      <x:color rgb="FFFFFFFF"/>
      <x:name val="Carlito"/>
    </x:font>
    <x:font>
      <x:b/>
      <x:sz val="10"/>
      <x:color rgb="FFFFFFFF"/>
      <x:name val="Carlito"/>
    </x:font>
    <x:font>
      <x:sz val="9"/>
      <x:color rgb="FF1F2933"/>
      <x:name val="Carlito"/>
    </x:font>
  </x:fonts>
  <x:fills count="9">
    <x:fill>
      <x:patternFill patternType="none"/>
    </x:fill>
    <x:fill>
      <x:patternFill patternType="gray125"/>
    </x:fill>
    <x:fill>
      <x:patternFill patternType="solid">
        <x:fgColor rgb="FF17365D"/>
      </x:patternFill>
    </x:fill>
    <x:fill>
      <x:patternFill patternType="solid">
        <x:fgColor rgb="FFF4F7F9"/>
      </x:patternFill>
    </x:fill>
    <x:fill>
      <x:patternFill patternType="solid">
        <x:fgColor rgb="FFDCEAF5"/>
      </x:patternFill>
    </x:fill>
    <x:fill>
      <x:patternFill patternType="solid">
        <x:fgColor rgb="FFE3F1E6"/>
      </x:patternFill>
    </x:fill>
    <x:fill>
      <x:patternFill patternType="solid">
        <x:fgColor rgb="FFF9DEDC"/>
      </x:patternFill>
    </x:fill>
    <x:fill>
      <x:patternFill patternType="solid">
        <x:fgColor rgb="FFFFF2CC"/>
      </x:patternFill>
    </x:fill>
    <x:fill>
      <x:patternFill patternType="solid">
        <x:fgColor rgb="FF2F6B66"/>
      </x:patternFill>
    </x:fill>
  </x:fills>
  <x:borders count="4">
    <x:border/>
    <x:border>
      <x:bottom style="thin">
        <x:color rgb="FFD6DEE5"/>
      </x:bottom>
    </x:border>
    <x:border>
      <x:top style="thin">
        <x:color rgb="FFD6DEE5"/>
      </x:top>
      <x:bottom style="thin">
        <x:color rgb="FFD6DEE5"/>
      </x:bottom>
    </x:border>
    <x:border>
      <x:top style="thin">
        <x:color rgb="FFD6DEE5"/>
      </x:top>
    </x:border>
  </x:borders>
  <x:cellStyleXfs count="1">
    <x:xf numFmtId="0" fontId="0" fillId="0" borderId="0"/>
  </x:cellStyleXfs>
  <x:cellXfs count="6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4" fillId="4" borderId="0" xfId="0" applyNumberFormat="1" applyFont="1" applyFill="1" applyBorder="1"/>
    <x:xf numFmtId="0" fontId="4" fillId="4" borderId="0" xfId="0" applyNumberFormat="1" applyFont="1" applyFill="1" applyBorder="1" applyAlignment="1">
      <x:alignment horizontal="center"/>
    </x:xf>
    <x:xf numFmtId="0" fontId="4" fillId="4" borderId="0" xfId="0" applyNumberFormat="1" applyFont="1" applyFill="1" applyBorder="1" applyAlignment="1">
      <x:alignment horizontal="center" vertical="center"/>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horizontal="center"/>
    </x:xf>
    <x:xf numFmtId="0" fontId="4" fillId="5" borderId="0" xfId="0" applyNumberFormat="1" applyFont="1" applyFill="1" applyBorder="1"/>
    <x:xf numFmtId="0" fontId="4" fillId="5" borderId="0" xfId="0" applyNumberFormat="1" applyFont="1" applyFill="1" applyBorder="1" applyAlignment="1">
      <x:alignment horizontal="center"/>
    </x:xf>
    <x:xf numFmtId="0" fontId="4" fillId="5" borderId="0" xfId="0" applyNumberFormat="1" applyFont="1" applyFill="1" applyBorder="1" applyAlignment="1">
      <x:alignment horizontal="center" vertical="center"/>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4" fillId="6" borderId="0" xfId="0" applyNumberFormat="1" applyFont="1" applyFill="1" applyBorder="1"/>
    <x:xf numFmtId="0" fontId="4" fillId="6" borderId="0" xfId="0" applyNumberFormat="1" applyFont="1" applyFill="1" applyBorder="1" applyAlignment="1">
      <x:alignment horizontal="center"/>
    </x:xf>
    <x:xf numFmtId="0" fontId="4" fillId="6" borderId="0" xfId="0" applyNumberFormat="1" applyFont="1" applyFill="1" applyBorder="1" applyAlignment="1">
      <x:alignment horizontal="center" vertical="center"/>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horizontal="center"/>
    </x:xf>
    <x:xf numFmtId="0" fontId="4" fillId="7" borderId="0" xfId="0" applyNumberFormat="1" applyFont="1" applyFill="1" applyBorder="1"/>
    <x:xf numFmtId="0" fontId="4" fillId="7" borderId="0" xfId="0" applyNumberFormat="1" applyFont="1" applyFill="1" applyBorder="1" applyAlignment="1">
      <x:alignment horizontal="center"/>
    </x:xf>
    <x:xf numFmtId="0" fontId="4" fillId="7" borderId="0" xfId="0" applyNumberFormat="1" applyFont="1" applyFill="1" applyBorder="1" applyAlignment="1">
      <x:alignment horizontal="center" vertical="center"/>
    </x:xf>
    <x:xf numFmtId="0" fontId="0" fillId="8" borderId="0" xfId="0" applyNumberFormat="1" applyFont="1" applyFill="1" applyBorder="1"/>
    <x:xf numFmtId="0" fontId="5" fillId="8" borderId="0" xfId="0" applyNumberFormat="1" applyFont="1" applyFill="1" applyBorder="1"/>
    <x:xf numFmtId="0" fontId="6" fillId="2" borderId="0" xfId="0" applyNumberFormat="1" applyFont="1" applyFill="1" applyBorder="1"/>
    <x:xf numFmtId="0" fontId="6" fillId="2" borderId="0" xfId="0" applyNumberFormat="1" applyFont="1" applyFill="1" applyBorder="1" applyAlignment="1">
      <x:alignment wrapText="1"/>
    </x:xf>
    <x:xf numFmtId="0" fontId="6" fillId="2" borderId="0" xfId="0" applyNumberFormat="1" applyFont="1" applyFill="1" applyBorder="1" applyAlignment="1">
      <x:alignment vertical="center" wrapText="1"/>
    </x:xf>
    <x:xf numFmtId="0" fontId="7" fillId="0" borderId="0" xfId="0" applyNumberFormat="1" applyFont="1" applyFill="1" applyBorder="1"/>
    <x:xf numFmtId="0" fontId="7" fillId="0" borderId="1"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1" xfId="0" applyNumberFormat="1" applyFont="1" applyFill="1" applyBorder="1" applyAlignment="1">
      <x:alignment vertical="top"/>
    </x:xf>
    <x:xf numFmtId="0" fontId="7" fillId="0" borderId="2" xfId="0" applyNumberFormat="1" applyFont="1" applyFill="1" applyBorder="1" applyAlignment="1">
      <x:alignment vertical="top"/>
    </x:xf>
    <x:xf numFmtId="0" fontId="7" fillId="0" borderId="3" xfId="0" applyNumberFormat="1" applyFont="1" applyFill="1" applyBorder="1" applyAlignment="1">
      <x:alignment vertical="top"/>
    </x:xf>
    <x:xf numFmtId="200" fontId="7" fillId="0" borderId="1" xfId="0" applyNumberFormat="1" applyFont="1" applyFill="1" applyBorder="1" applyAlignment="1">
      <x:alignment vertical="top"/>
    </x:xf>
    <x:xf numFmtId="200" fontId="7" fillId="0" borderId="2" xfId="0" applyNumberFormat="1" applyFont="1" applyFill="1" applyBorder="1" applyAlignment="1">
      <x:alignment vertical="top"/>
    </x:xf>
    <x:xf numFmtId="200" fontId="7" fillId="0" borderId="3" xfId="0" applyNumberFormat="1" applyFont="1" applyFill="1" applyBorder="1" applyAlignment="1">
      <x:alignment vertical="top"/>
    </x:xf>
    <x:xf numFmtId="201" fontId="7" fillId="0" borderId="1" xfId="0" applyNumberFormat="1" applyFont="1" applyFill="1" applyBorder="1" applyAlignment="1">
      <x:alignment vertical="top"/>
    </x:xf>
    <x:xf numFmtId="201" fontId="7" fillId="0" borderId="2" xfId="0" applyNumberFormat="1" applyFont="1" applyFill="1" applyBorder="1" applyAlignment="1">
      <x:alignment vertical="top"/>
    </x:xf>
    <x:xf numFmtId="201" fontId="7" fillId="0" borderId="3" xfId="0" applyNumberFormat="1" applyFont="1" applyFill="1" applyBorder="1" applyAlignment="1">
      <x:alignment vertical="top"/>
    </x:xf>
    <x:xf numFmtId="202" fontId="7" fillId="0" borderId="1" xfId="0" applyNumberFormat="1" applyFont="1" applyFill="1" applyBorder="1" applyAlignment="1">
      <x:alignment vertical="top"/>
    </x:xf>
    <x:xf numFmtId="202" fontId="7" fillId="0" borderId="2" xfId="0" applyNumberFormat="1" applyFont="1" applyFill="1" applyBorder="1" applyAlignment="1">
      <x:alignment vertical="top"/>
    </x:xf>
    <x:xf numFmtId="202" fontId="7" fillId="0" borderId="3" xfId="0" applyNumberFormat="1" applyFont="1" applyFill="1" applyBorder="1" applyAlignment="1">
      <x:alignment vertical="top"/>
    </x:xf>
    <x:xf numFmtId="0" fontId="7" fillId="0" borderId="1" xfId="0" applyNumberFormat="1" applyFont="1" applyFill="1" applyBorder="1" applyAlignment="1">
      <x:alignment vertical="top"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203" fontId="7" fillId="0" borderId="1" xfId="0" applyNumberFormat="1" applyFont="1" applyFill="1" applyBorder="1" applyAlignment="1">
      <x:alignment vertical="top"/>
    </x:xf>
    <x:xf numFmtId="203" fontId="7" fillId="0" borderId="2" xfId="0" applyNumberFormat="1" applyFont="1" applyFill="1" applyBorder="1" applyAlignment="1">
      <x:alignment vertical="top"/>
    </x:xf>
    <x:xf numFmtId="203" fontId="7" fillId="0" borderId="3" xfId="0" applyNumberFormat="1" applyFont="1" applyFill="1" applyBorder="1" applyAlignment="1">
      <x:alignment vertical="top"/>
    </x:xf>
    <x:xf numFmtId="204" fontId="7" fillId="0" borderId="1" xfId="0" applyNumberFormat="1" applyFont="1" applyFill="1" applyBorder="1" applyAlignment="1">
      <x:alignment vertical="top"/>
    </x:xf>
    <x:xf numFmtId="204" fontId="7" fillId="0" borderId="2" xfId="0" applyNumberFormat="1" applyFont="1" applyFill="1" applyBorder="1" applyAlignment="1">
      <x:alignment vertical="top"/>
    </x:xf>
    <x:xf numFmtId="204" fontId="7" fillId="0" borderId="3" xfId="0" applyNumberFormat="1" applyFont="1" applyFill="1" applyBorder="1" applyAlignment="1">
      <x:alignment vertical="top"/>
    </x:xf>
    <x:xf numFmtId="0" fontId="5" fillId="2" borderId="0" xfId="0" applyNumberFormat="1" applyFont="1" applyFill="1" applyBorder="1"/>
    <x:xf numFmtId="202" fontId="5" fillId="2" borderId="0" xfId="0" applyNumberFormat="1" applyFont="1" applyFill="1" applyBorder="1"/>
    <x:xf numFmtId="204" fontId="5" fillId="2" borderId="0" xfId="0" applyNumberFormat="1" applyFont="1" applyFill="1" applyBorder="1"/>
  </x:cellXfs>
  <x:cellStyles count="1">
    <x:cellStyle name="Normal" xfId="0"/>
  </x:cellStyles>
  <x:dxfs count="11">
    <x:dxf>
      <x:font>
        <x:b/>
        <x:color rgb="FF1F2933"/>
      </x:font>
      <x:fill>
        <x:patternFill patternType="solid">
          <x:bgColor rgb="FFE3F1E6"/>
        </x:patternFill>
      </x:fill>
    </x:dxf>
    <x:dxf>
      <x:font>
        <x:b/>
        <x:color rgb="FF1F2933"/>
      </x:font>
      <x:fill>
        <x:patternFill patternType="solid">
          <x:bgColor rgb="FFF9DEDC"/>
        </x:patternFill>
      </x:fill>
    </x:dxf>
    <x:dxf>
      <x:font>
        <x:b/>
        <x:color rgb="FF1F2933"/>
      </x:font>
      <x:fill>
        <x:patternFill patternType="solid">
          <x:bgColor rgb="FFE3F1E6"/>
        </x:patternFill>
      </x:fill>
    </x:dxf>
    <x:dxf>
      <x:font>
        <x:b/>
        <x:color rgb="FF1F2933"/>
      </x:font>
      <x:fill>
        <x:patternFill patternType="solid">
          <x:bgColor rgb="FFF9DEDC"/>
        </x:patternFill>
      </x:fill>
    </x:dxf>
    <x:dxf>
      <x:font>
        <x:b/>
        <x:color rgb="FF1F2933"/>
      </x:font>
      <x:fill>
        <x:patternFill patternType="solid">
          <x:bgColor rgb="FFF9DEDC"/>
        </x:patternFill>
      </x:fill>
    </x:dxf>
    <x:dxf>
      <x:font>
        <x:b/>
        <x:color rgb="FF1F2933"/>
      </x:font>
      <x:fill>
        <x:patternFill patternType="solid">
          <x:bgColor rgb="FFFFF2CC"/>
        </x:patternFill>
      </x:fill>
    </x:dxf>
    <x:dxf>
      <x:font>
        <x:b/>
        <x:color rgb="FF1F2933"/>
      </x:font>
      <x:fill>
        <x:patternFill patternType="solid">
          <x:bgColor rgb="FFFCE4D6"/>
        </x:patternFill>
      </x:fill>
    </x:dxf>
    <x:dxf>
      <x:font>
        <x:b/>
        <x:color rgb="FF1F2933"/>
      </x:font>
      <x:fill>
        <x:patternFill patternType="solid">
          <x:bgColor rgb="FFFFF2CC"/>
        </x:patternFill>
      </x:fill>
    </x:dxf>
    <x:dxf>
      <x:font>
        <x:b/>
        <x:color rgb="FF1F2933"/>
      </x:font>
      <x:fill>
        <x:patternFill patternType="solid">
          <x:bgColor rgb="FFE3F1E6"/>
        </x:patternFill>
      </x:fill>
    </x:dxf>
    <x:dxf>
      <x:font>
        <x:b/>
        <x:color rgb="FF1F2933"/>
      </x:font>
      <x:fill>
        <x:patternFill patternType="solid">
          <x:bgColor rgb="FFF9DEDC"/>
        </x:patternFill>
      </x:fill>
    </x:dxf>
    <x:dxf>
      <x:font>
        <x:b/>
        <x:color rgb="FF1F2933"/>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7494636f01a4126" /><Relationship Type="http://schemas.openxmlformats.org/officeDocument/2006/relationships/theme" Target="/xl/theme/theme1.xml" Id="R93d2db96d9474e6a" /><Relationship Type="http://schemas.openxmlformats.org/officeDocument/2006/relationships/sharedStrings" Target="/xl/sharedStrings.xml" Id="R1fd9ae7f21f046d5" /><Relationship Type="http://schemas.openxmlformats.org/officeDocument/2006/relationships/worksheet" Target="/xl/worksheets/sheet1.xml" Id="R51dfd40aa2a34b62" /><Relationship Type="http://schemas.openxmlformats.org/officeDocument/2006/relationships/worksheet" Target="/xl/worksheets/sheet2.xml" Id="R55f5c33bfc7f4e53" /><Relationship Type="http://schemas.openxmlformats.org/officeDocument/2006/relationships/worksheet" Target="/xl/worksheets/sheet3.xml" Id="Rbf6d46dcc46a4862" /><Relationship Type="http://schemas.openxmlformats.org/officeDocument/2006/relationships/worksheet" Target="/xl/worksheets/sheet4.xml" Id="R52752afb0fc54fb1" /><Relationship Type="http://schemas.openxmlformats.org/officeDocument/2006/relationships/worksheet" Target="/xl/worksheets/sheet5.xml" Id="Rfacdcce47dbd4f67" /><Relationship Type="http://schemas.openxmlformats.org/officeDocument/2006/relationships/worksheet" Target="/xl/worksheets/sheet6.xml" Id="R4c3484bc901649c9" /></Relationships>
</file>

<file path=xl/tables/table1.xml><?xml version="1.0" encoding="utf-8"?>
<x:table xmlns:x="http://schemas.openxmlformats.org/spreadsheetml/2006/main" id="1" name="OverviewTopCandidates" displayName="OverviewTopCandidates" ref="A10:L20" headerRowCount="1" totalsRowCount="0" totalsRowShown="0">
  <x:autoFilter ref="A10:L20"/>
  <x:tableColumns count="12">
    <x:tableColumn id="1" name="复核排名"/>
    <x:tableColumn id="2" name="股票代码"/>
    <x:tableColumn id="3" name="股票名称"/>
    <x:tableColumn id="4" name="来源"/>
    <x:tableColumn id="5" name="二筛分"/>
    <x:tableColumn id="6" name="深度复核分"/>
    <x:tableColumn id="7" name="结论"/>
    <x:tableColumn id="8" name="建议仓位"/>
    <x:tableColumn id="9" name="参考价"/>
    <x:tableColumn id="10" name="止损价"/>
    <x:tableColumn id="11" name="第二目标价"/>
    <x:tableColumn id="12" name="核心逻辑"/>
  </x:tableColumns>
  <x:tableStyleInfo name="TableStyleMedium2" showFirstColumn="0" showLastColumn="0" showRowStripes="1" showColumnStripes="0"/>
</x:table>
</file>

<file path=xl/tables/table2.xml><?xml version="1.0" encoding="utf-8"?>
<x:table xmlns:x="http://schemas.openxmlformats.org/spreadsheetml/2006/main" id="2" name="HumanCandidates" displayName="HumanCandidates" ref="A4:V31" headerRowCount="1" totalsRowCount="0" totalsRowShown="0">
  <x:autoFilter ref="A4:V31"/>
  <x:tableColumns count="22">
    <x:tableColumn id="1" name="复核排名"/>
    <x:tableColumn id="2" name="股票代码"/>
    <x:tableColumn id="3" name="股票名称"/>
    <x:tableColumn id="4" name="入选来源"/>
    <x:tableColumn id="5" name="量化排名"/>
    <x:tableColumn id="6" name="量化得分"/>
    <x:tableColumn id="7" name="二筛得分"/>
    <x:tableColumn id="8" name="二筛结论"/>
    <x:tableColumn id="9" name="深度复核分"/>
    <x:tableColumn id="10" name="复核优先级"/>
    <x:tableColumn id="11" name="一级行业"/>
    <x:tableColumn id="12" name="产业链"/>
    <x:tableColumn id="13" name="财务状态"/>
    <x:tableColumn id="14" name="建议仓位"/>
    <x:tableColumn id="15" name="建议股数"/>
    <x:tableColumn id="16" name="参考价"/>
    <x:tableColumn id="17" name="止损价"/>
    <x:tableColumn id="18" name="第二目标价"/>
    <x:tableColumn id="19" name="风险收益比"/>
    <x:tableColumn id="20" name="核心逻辑"/>
    <x:tableColumn id="21" name="主要风险"/>
    <x:tableColumn id="22" name="当前状态"/>
  </x:tableColumns>
  <x:tableStyleInfo name="TableStyleMedium2" showFirstColumn="0" showLastColumn="0" showRowStripes="1" showColumnStripes="0"/>
</x:table>
</file>

<file path=xl/tables/table3.xml><?xml version="1.0" encoding="utf-8"?>
<x:table xmlns:x="http://schemas.openxmlformats.org/spreadsheetml/2006/main" id="3" name="HumanOrders" displayName="HumanOrders" ref="A4:X31" headerRowCount="1" totalsRowCount="0" totalsRowShown="0">
  <x:autoFilter ref="A4:X31"/>
  <x:tableColumns count="24">
    <x:tableColumn id="1" name="复核排名"/>
    <x:tableColumn id="2" name="股票代码"/>
    <x:tableColumn id="3" name="股票名称"/>
    <x:tableColumn id="4" name="入选来源"/>
    <x:tableColumn id="5" name="量化得分"/>
    <x:tableColumn id="6" name="二筛得分"/>
    <x:tableColumn id="7" name="二筛结论"/>
    <x:tableColumn id="8" name="深度复核分"/>
    <x:tableColumn id="9" name="保守价"/>
    <x:tableColumn id="10" name="均衡价"/>
    <x:tableColumn id="11" name="积极价"/>
    <x:tableColumn id="12" name="参考价"/>
    <x:tableColumn id="13" name="最高接受价"/>
    <x:tableColumn id="14" name="止损价"/>
    <x:tableColumn id="15" name="第一目标价"/>
    <x:tableColumn id="16" name="第二目标价"/>
    <x:tableColumn id="17" name="第一目标收益比"/>
    <x:tableColumn id="18" name="第二目标收益比"/>
    <x:tableColumn id="19" name="当前收益比"/>
    <x:tableColumn id="20" name="建议仓位"/>
    <x:tableColumn id="21" name="建议资金"/>
    <x:tableColumn id="22" name="建议股数"/>
    <x:tableColumn id="23" name="预计最大损失"/>
    <x:tableColumn id="24" name="说明"/>
  </x:tableColumns>
  <x:tableStyleInfo name="TableStyleMedium2" showFirstColumn="0" showLastColumn="0" showRowStripes="1" showColumnStripes="0"/>
</x:table>
</file>

<file path=xl/tables/table4.xml><?xml version="1.0" encoding="utf-8"?>
<x:table xmlns:x="http://schemas.openxmlformats.org/spreadsheetml/2006/main" id="4" name="HumanFundamentals" displayName="HumanFundamentals" ref="A4:S31" headerRowCount="1" totalsRowCount="0" totalsRowShown="0">
  <x:autoFilter ref="A4:S31"/>
  <x:tableColumns count="19">
    <x:tableColumn id="1" name="复核排名"/>
    <x:tableColumn id="2" name="股票代码"/>
    <x:tableColumn id="3" name="股票名称"/>
    <x:tableColumn id="4" name="入选来源"/>
    <x:tableColumn id="5" name="一级行业"/>
    <x:tableColumn id="6" name="产业链"/>
    <x:tableColumn id="7" name="链条位置"/>
    <x:tableColumn id="8" name="主营业务"/>
    <x:tableColumn id="9" name="核心产品"/>
    <x:tableColumn id="10" name="概念标签"/>
    <x:tableColumn id="11" name="结构性方向"/>
    <x:tableColumn id="12" name="潜在优势"/>
    <x:tableColumn id="13" name="行业趋势"/>
    <x:tableColumn id="14" name="核心逻辑"/>
    <x:tableColumn id="15" name="失效条件"/>
    <x:tableColumn id="16" name="财务状态"/>
    <x:tableColumn id="17" name="财务说明"/>
    <x:tableColumn id="18" name="人工复核"/>
    <x:tableColumn id="19" name="复核优先级"/>
  </x:tableColumns>
  <x:tableStyleInfo name="TableStyleMedium2" showFirstColumn="0" showLastColumn="0" showRowStripes="1" showColumnStripes="0"/>
</x:table>
</file>

<file path=xl/tables/table5.xml><?xml version="1.0" encoding="utf-8"?>
<x:table xmlns:x="http://schemas.openxmlformats.org/spreadsheetml/2006/main" id="5" name="HumanQuantTop100" displayName="HumanQuantTop100" ref="A4:L104" headerRowCount="1" totalsRowCount="0" totalsRowShown="0">
  <x:autoFilter ref="A4:L104"/>
  <x:tableColumns count="12">
    <x:tableColumn id="1" name="量化排名"/>
    <x:tableColumn id="2" name="股票代码"/>
    <x:tableColumn id="3" name="股票名称"/>
    <x:tableColumn id="4" name="一级行业"/>
    <x:tableColumn id="5" name="量化总分"/>
    <x:tableColumn id="6" name="技术得分"/>
    <x:tableColumn id="7" name="资金得分"/>
    <x:tableColumn id="8" name="情绪得分"/>
    <x:tableColumn id="9" name="动量得分"/>
    <x:tableColumn id="10" name="风险得分"/>
    <x:tableColumn id="11" name="进入二筛"/>
    <x:tableColumn id="12" name="进入重点候选"/>
  </x:tableColumns>
  <x:tableStyleInfo name="TableStyleMedium2" showFirstColumn="0" showLastColumn="0" showRowStripes="1" showColumnStripes="0"/>
</x:table>
</file>

<file path=xl/tables/table6.xml><?xml version="1.0" encoding="utf-8"?>
<x:table xmlns:x="http://schemas.openxmlformats.org/spreadsheetml/2006/main" id="6" name="HumanCurrentIssues" displayName="HumanCurrentIssues" ref="A4:E7" headerRowCount="1" totalsRowCount="0" totalsRowShown="0">
  <x:autoFilter ref="A4:E7"/>
  <x:tableColumns count="5">
    <x:tableColumn id="1" name="股票代码"/>
    <x:tableColumn id="2" name="股票名称"/>
    <x:tableColumn id="3" name="问题类型"/>
    <x:tableColumn id="4" name="当前状态"/>
    <x:tableColumn id="5" name="说明"/>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5704d95294945ac" /></Relationships>
</file>

<file path=xl/worksheets/_rels/sheet2.xml.rels>&#65279;<?xml version="1.0" encoding="utf-8"?><Relationships xmlns="http://schemas.openxmlformats.org/package/2006/relationships"><Relationship Type="http://schemas.openxmlformats.org/officeDocument/2006/relationships/table" Target="/xl/tables/table2.xml" Id="Ra33bd6ac88e94334" /></Relationships>
</file>

<file path=xl/worksheets/_rels/sheet3.xml.rels>&#65279;<?xml version="1.0" encoding="utf-8"?><Relationships xmlns="http://schemas.openxmlformats.org/package/2006/relationships"><Relationship Type="http://schemas.openxmlformats.org/officeDocument/2006/relationships/table" Target="/xl/tables/table3.xml" Id="R966ac619401a4049" /></Relationships>
</file>

<file path=xl/worksheets/_rels/sheet4.xml.rels>&#65279;<?xml version="1.0" encoding="utf-8"?><Relationships xmlns="http://schemas.openxmlformats.org/package/2006/relationships"><Relationship Type="http://schemas.openxmlformats.org/officeDocument/2006/relationships/table" Target="/xl/tables/table4.xml" Id="R541b21b249bf404f" /></Relationships>
</file>

<file path=xl/worksheets/_rels/sheet5.xml.rels>&#65279;<?xml version="1.0" encoding="utf-8"?><Relationships xmlns="http://schemas.openxmlformats.org/package/2006/relationships"><Relationship Type="http://schemas.openxmlformats.org/officeDocument/2006/relationships/table" Target="/xl/tables/table5.xml" Id="R8d5c1f3d3aeb4816" /></Relationships>
</file>

<file path=xl/worksheets/_rels/sheet6.xml.rels>&#65279;<?xml version="1.0" encoding="utf-8"?><Relationships xmlns="http://schemas.openxmlformats.org/package/2006/relationships"><Relationship Type="http://schemas.openxmlformats.org/officeDocument/2006/relationships/table" Target="/xl/tables/table6.xml" Id="Rd2348a0c5c204392" /></Relationships>
</file>

<file path=xl/worksheets/sheet1.xml><?xml version="1.0" encoding="utf-8"?>
<x:worksheet xmlns:x="http://schemas.openxmlformats.org/spreadsheetml/2006/main">
  <x:sheetViews>
    <x:sheetView showGridLines="0" workbookViewId="0"/>
  </x:sheetViews>
  <x:sheetFormatPr defaultRowHeight="15"/>
  <x:cols>
    <x:col min="1" max="1" width="10" hidden="0" customWidth="1"/>
    <x:col min="2" max="2" width="13" hidden="0" customWidth="1"/>
    <x:col min="3" max="3" width="14" hidden="0" customWidth="1"/>
    <x:col min="4" max="4" width="12" hidden="0" customWidth="1"/>
    <x:col min="5" max="5" width="10" hidden="0" customWidth="1"/>
    <x:col min="6" max="6" width="12" hidden="0" customWidth="1"/>
    <x:col min="7" max="7" width="12" hidden="0" customWidth="1"/>
    <x:col min="8" max="8" width="12" hidden="0" customWidth="1"/>
    <x:col min="9" max="9" width="11" hidden="0" customWidth="1"/>
    <x:col min="10" max="10" width="11" hidden="0" customWidth="1"/>
    <x:col min="11" max="11" width="11" hidden="0" customWidth="1"/>
    <x:col min="12" max="12" width="42" hidden="0" customWidth="1"/>
  </x:cols>
  <x:sheetData>
    <x:row r="1" ht="28" customHeight="1">
      <x:c r="A1" s="3" t="str">
        <x:v>2026-07-10 A股短线观察清单</x:v>
      </x:c>
    </x:row>
    <x:row r="3" ht="22" customHeight="1">
      <x:c r="A3" s="5" t="str">
        <x:v>供人工复核，最终交易决策由你确认。  观察日期：2026-07-10  目标日期：2026-07-13</x:v>
      </x:c>
    </x:row>
    <x:row r="5">
      <x:c r="A5" s="8" t="str">
        <x:v>重点候选</x:v>
      </x:c>
      <x:c r="B5" s="8"/>
      <x:c r="C5" s="8"/>
      <x:c r="D5" s="14" t="str">
        <x:v>有仓位建议</x:v>
      </x:c>
      <x:c r="E5" s="14"/>
      <x:c r="F5" s="14"/>
      <x:c r="G5" s="20" t="str">
        <x:v>当前问题</x:v>
      </x:c>
      <x:c r="H5" s="20"/>
      <x:c r="I5" s="20"/>
      <x:c r="J5" s="26" t="str">
        <x:v>二筛股票</x:v>
      </x:c>
      <x:c r="K5" s="26"/>
      <x:c r="L5" s="26"/>
    </x:row>
    <x:row r="6" ht="28" customHeight="1">
      <x:c r="A6" s="11" t="n">
        <x:f>COUNTA('重点候选'!B5:B200)</x:f>
        <x:v>27</x:v>
      </x:c>
      <x:c r="B6" s="11"/>
      <x:c r="C6" s="11"/>
      <x:c r="D6" s="17" t="n">
        <x:f>COUNTIF('挂单与仓位'!V5:V31,"&gt;0")</x:f>
        <x:v>14</x:v>
      </x:c>
      <x:c r="E6" s="17"/>
      <x:c r="F6" s="17"/>
      <x:c r="G6" s="23" t="n">
        <x:f>COUNTA('当前问题'!A5:A100)</x:f>
        <x:v>3</x:v>
      </x:c>
      <x:c r="H6" s="23"/>
      <x:c r="I6" s="23"/>
      <x:c r="J6" s="29" t="n">
        <x:f>105</x:f>
        <x:v>105</x:v>
      </x:c>
      <x:c r="K6" s="29"/>
      <x:c r="L6" s="29"/>
    </x:row>
    <x:row r="7" ht="28" customHeight="1">
      <x:c r="A7" s="11"/>
      <x:c r="B7" s="11"/>
      <x:c r="C7" s="11"/>
      <x:c r="D7" s="17"/>
      <x:c r="E7" s="17"/>
      <x:c r="F7" s="17"/>
      <x:c r="G7" s="23"/>
      <x:c r="H7" s="23"/>
      <x:c r="I7" s="23"/>
      <x:c r="J7" s="29"/>
      <x:c r="K7" s="29"/>
      <x:c r="L7" s="29"/>
    </x:row>
    <x:row r="9" ht="24" customHeight="1">
      <x:c r="A9" s="31" t="str">
        <x:v>优先复核清单</x:v>
      </x:c>
      <x:c r="B9" s="31"/>
      <x:c r="C9" s="31"/>
      <x:c r="D9" s="31"/>
      <x:c r="E9" s="31"/>
      <x:c r="F9" s="31"/>
      <x:c r="G9" s="31"/>
      <x:c r="H9" s="31"/>
      <x:c r="I9" s="31"/>
      <x:c r="J9" s="31"/>
      <x:c r="K9" s="31"/>
      <x:c r="L9" s="31"/>
    </x:row>
    <x:row r="10" ht="32" customHeight="1">
      <x:c r="A10" s="34" t="str">
        <x:v>复核排名</x:v>
      </x:c>
      <x:c r="B10" s="34" t="str">
        <x:v>股票代码</x:v>
      </x:c>
      <x:c r="C10" s="34" t="str">
        <x:v>股票名称</x:v>
      </x:c>
      <x:c r="D10" s="34" t="str">
        <x:v>来源</x:v>
      </x:c>
      <x:c r="E10" s="34" t="str">
        <x:v>二筛分</x:v>
      </x:c>
      <x:c r="F10" s="34" t="str">
        <x:v>深度复核分</x:v>
      </x:c>
      <x:c r="G10" s="34" t="str">
        <x:v>结论</x:v>
      </x:c>
      <x:c r="H10" s="34" t="str">
        <x:v>建议仓位</x:v>
      </x:c>
      <x:c r="I10" s="34" t="str">
        <x:v>参考价</x:v>
      </x:c>
      <x:c r="J10" s="34" t="str">
        <x:v>止损价</x:v>
      </x:c>
      <x:c r="K10" s="34" t="str">
        <x:v>第二目标价</x:v>
      </x:c>
      <x:c r="L10" s="34" t="str">
        <x:v>核心逻辑</x:v>
      </x:c>
    </x:row>
    <x:row r="11">
      <x:c r="A11" s="39" t="n">
        <x:v>1</x:v>
      </x:c>
      <x:c r="B11" s="42" t="str">
        <x:v>688981</x:v>
      </x:c>
      <x:c r="C11" s="39" t="str">
        <x:v>中芯国际</x:v>
      </x:c>
      <x:c r="D11" s="39" t="str">
        <x:v>模型筛选</x:v>
      </x:c>
      <x:c r="E11" s="45" t="n">
        <x:v>65.5</x:v>
      </x:c>
      <x:c r="F11" s="45" t="n">
        <x:v>65.5</x:v>
      </x:c>
      <x:c r="G11" s="39" t="str">
        <x:v>继续观察</x:v>
      </x:c>
      <x:c r="H11" s="48" t="n">
        <x:v>0</x:v>
      </x:c>
      <x:c r="I11" s="45" t="n">
        <x:v>145.94</x:v>
      </x:c>
      <x:c r="J11" s="45" t="n">
        <x:v>134.26</x:v>
      </x:c>
      <x:c r="K11" s="45" t="n">
        <x:v>170.36</x:v>
      </x:c>
      <x:c r="L11" s="51" t="str">
        <x:v>公司作为中国大陆领先的晶圆代工企业，受益于半导体国产替代和先进制程需求增长，财务状态稳定，但需关注技术迭代和地缘政治风险。*</x:v>
      </x:c>
    </x:row>
    <x:row r="12">
      <x:c r="A12" s="40" t="n">
        <x:v>2</x:v>
      </x:c>
      <x:c r="B12" s="43" t="str">
        <x:v>603893</x:v>
      </x:c>
      <x:c r="C12" s="40" t="str">
        <x:v>瑞芯微</x:v>
      </x:c>
      <x:c r="D12" s="40" t="str">
        <x:v>模型筛选</x:v>
      </x:c>
      <x:c r="E12" s="46" t="n">
        <x:v>77</x:v>
      </x:c>
      <x:c r="F12" s="46" t="n">
        <x:v>63</x:v>
      </x:c>
      <x:c r="G12" s="40" t="str">
        <x:v>优先复核</x:v>
      </x:c>
      <x:c r="H12" s="49" t="n">
        <x:v>0</x:v>
      </x:c>
      <x:c r="I12" s="46" t="n">
        <x:v>186.85</x:v>
      </x:c>
      <x:c r="J12" s="46" t="n">
        <x:v>173.96</x:v>
      </x:c>
      <x:c r="K12" s="46" t="n">
        <x:v>212.62</x:v>
      </x:c>
      <x:c r="L12" s="52" t="str">
        <x:v>公司主营智能应用处理器系统级芯片及周边芯片，受益于消费电子、物联网、人工智能等下游需求增长；财务表现稳健，营收和净利润同比增长显著，研发投入较高。*</x:v>
      </x:c>
    </x:row>
    <x:row r="13">
      <x:c r="A13" s="40" t="n">
        <x:v>3</x:v>
      </x:c>
      <x:c r="B13" s="43" t="str">
        <x:v>300474</x:v>
      </x:c>
      <x:c r="C13" s="40" t="str">
        <x:v>景嘉微</x:v>
      </x:c>
      <x:c r="D13" s="40" t="str">
        <x:v>模型筛选</x:v>
      </x:c>
      <x:c r="E13" s="46" t="n">
        <x:v>50</x:v>
      </x:c>
      <x:c r="F13" s="46" t="n">
        <x:v>62.5</x:v>
      </x:c>
      <x:c r="G13" s="40" t="str">
        <x:v>普通观察</x:v>
      </x:c>
      <x:c r="H13" s="49" t="n">
        <x:v>0.006549</x:v>
      </x:c>
      <x:c r="I13" s="46" t="n">
        <x:v>65.49</x:v>
      </x:c>
      <x:c r="J13" s="46" t="n">
        <x:v>61.81</x:v>
      </x:c>
      <x:c r="K13" s="46" t="n">
        <x:v>72.86</x:v>
      </x:c>
      <x:c r="L13" s="52" t="str">
        <x:v>公司主营高可靠军用电子产品，是国内唯一成功自主研发国产化图形处理芯片并产业化的企业，受益于国产替代和军工信息化趋势。但近期财务表现承压，营收下滑，净利润亏损，研发投入较高。*</x:v>
      </x:c>
    </x:row>
    <x:row r="14">
      <x:c r="A14" s="40" t="n">
        <x:v>4</x:v>
      </x:c>
      <x:c r="B14" s="43" t="str">
        <x:v>002558</x:v>
      </x:c>
      <x:c r="C14" s="40" t="str">
        <x:v>巨人网络</x:v>
      </x:c>
      <x:c r="D14" s="40" t="str">
        <x:v>模型筛选</x:v>
      </x:c>
      <x:c r="E14" s="46" t="n">
        <x:v>56</x:v>
      </x:c>
      <x:c r="F14" s="46" t="n">
        <x:v>62.07</x:v>
      </x:c>
      <x:c r="G14" s="40" t="str">
        <x:v>继续观察</x:v>
      </x:c>
      <x:c r="H14" s="49" t="n">
        <x:v>0.006038</x:v>
      </x:c>
      <x:c r="I14" s="46" t="n">
        <x:v>30.19</x:v>
      </x:c>
      <x:c r="J14" s="46" t="n">
        <x:v>28.17</x:v>
      </x:c>
      <x:c r="K14" s="46" t="n">
        <x:v>34.23</x:v>
      </x:c>
      <x:c r="L14" s="52" t="str">
        <x:v>公司主营互联网游戏和社区工具，拥有多款国民级产品，财务表现稳健，营收和利润高速增长，毛利率高，现金流良好。*</x:v>
      </x:c>
    </x:row>
    <x:row r="15">
      <x:c r="A15" s="40" t="n">
        <x:v>5</x:v>
      </x:c>
      <x:c r="B15" s="43" t="str">
        <x:v>000977</x:v>
      </x:c>
      <x:c r="C15" s="40" t="str">
        <x:v>浪潮信息</x:v>
      </x:c>
      <x:c r="D15" s="40" t="str">
        <x:v>模型筛选</x:v>
      </x:c>
      <x:c r="E15" s="46" t="n">
        <x:v>50</x:v>
      </x:c>
      <x:c r="F15" s="46" t="n">
        <x:v>61.8</x:v>
      </x:c>
      <x:c r="G15" s="40" t="str">
        <x:v>普通观察</x:v>
      </x:c>
      <x:c r="H15" s="49" t="n">
        <x:v>0</x:v>
      </x:c>
      <x:c r="I15" s="46" t="n">
        <x:v>74.3</x:v>
      </x:c>
      <x:c r="J15" s="46" t="n">
        <x:v>68.88</x:v>
      </x:c>
      <x:c r="K15" s="46" t="n">
        <x:v>85.13</x:v>
      </x:c>
      <x:c r="L15" s="52" t="str">
        <x:v>公司主营计算机软硬件及系统集成，受益于云计算、大数据和智慧城市发展，但营收下滑，经营现金流为负，需关注。*</x:v>
      </x:c>
    </x:row>
    <x:row r="16">
      <x:c r="A16" s="40" t="n">
        <x:v>6</x:v>
      </x:c>
      <x:c r="B16" s="43" t="str">
        <x:v>688135</x:v>
      </x:c>
      <x:c r="C16" s="40" t="str">
        <x:v>利扬芯片</x:v>
      </x:c>
      <x:c r="D16" s="40" t="str">
        <x:v>模型筛选</x:v>
      </x:c>
      <x:c r="E16" s="46" t="n">
        <x:v>50</x:v>
      </x:c>
      <x:c r="F16" s="46" t="n">
        <x:v>61.77</x:v>
      </x:c>
      <x:c r="G16" s="40" t="str">
        <x:v>普通观察</x:v>
      </x:c>
      <x:c r="H16" s="49" t="n">
        <x:v>0.003899</x:v>
      </x:c>
      <x:c r="I16" s="46" t="n">
        <x:v>38.99</x:v>
      </x:c>
      <x:c r="J16" s="46" t="n">
        <x:v>35.87</x:v>
      </x:c>
      <x:c r="K16" s="46" t="n">
        <x:v>45.77</x:v>
      </x:c>
      <x:c r="L16" s="52" t="str">
        <x:v>公司作为独立第三方集成电路测试服务商，主营晶圆测试和芯片成品测试，受益于半导体产业链分工细化和国产替代趋势。财务显示营收和利润增长，但规模较小，需关注后续订单和产能扩张。*</x:v>
      </x:c>
    </x:row>
    <x:row r="17">
      <x:c r="A17" s="40" t="n">
        <x:v>7</x:v>
      </x:c>
      <x:c r="B17" s="43" t="str">
        <x:v>002605</x:v>
      </x:c>
      <x:c r="C17" s="40" t="str">
        <x:v>姚记科技</x:v>
      </x:c>
      <x:c r="D17" s="40" t="str">
        <x:v>模型筛选</x:v>
      </x:c>
      <x:c r="E17" s="46" t="n">
        <x:v>50</x:v>
      </x:c>
      <x:c r="F17" s="46" t="n">
        <x:v>61.76</x:v>
      </x:c>
      <x:c r="G17" s="40" t="str">
        <x:v>普通观察</x:v>
      </x:c>
      <x:c r="H17" s="49" t="n">
        <x:v>0.008224</x:v>
      </x:c>
      <x:c r="I17" s="46" t="n">
        <x:v>20.56</x:v>
      </x:c>
      <x:c r="J17" s="46" t="n">
        <x:v>19.71</x:v>
      </x:c>
      <x:c r="K17" s="46" t="n">
        <x:v>22.26</x:v>
      </x:c>
      <x:c r="L17" s="52" t="str">
        <x:v>公司主营扑克牌和移动游戏，受益于休闲娱乐消费和游戏行业增长，但需关注竞争和监管风险。*</x:v>
      </x:c>
    </x:row>
    <x:row r="18">
      <x:c r="A18" s="40" t="n">
        <x:v>8</x:v>
      </x:c>
      <x:c r="B18" s="43" t="str">
        <x:v>301345</x:v>
      </x:c>
      <x:c r="C18" s="40" t="str">
        <x:v>涛涛车业</x:v>
      </x:c>
      <x:c r="D18" s="40" t="str">
        <x:v>模型筛选</x:v>
      </x:c>
      <x:c r="E18" s="46" t="n">
        <x:v>53.5</x:v>
      </x:c>
      <x:c r="F18" s="46" t="n">
        <x:v>61.34</x:v>
      </x:c>
      <x:c r="G18" s="40" t="str">
        <x:v>普通观察</x:v>
      </x:c>
      <x:c r="H18" s="49" t="n">
        <x:v>0</x:v>
      </x:c>
      <x:c r="I18" s="46" t="n">
        <x:v>228.78</x:v>
      </x:c>
      <x:c r="J18" s="46" t="n">
        <x:v>212.55</x:v>
      </x:c>
      <x:c r="K18" s="46" t="n">
        <x:v>261.24</x:v>
      </x:c>
      <x:c r="L18" s="52" t="str">
        <x:v>公司主营电动出行和户外特种车，受益于电动化替代和户外运动普及，财务表现稳健，营收和利润高速增长。*</x:v>
      </x:c>
    </x:row>
    <x:row r="19">
      <x:c r="A19" s="40" t="n">
        <x:v>9</x:v>
      </x:c>
      <x:c r="B19" s="43" t="str">
        <x:v>603019</x:v>
      </x:c>
      <x:c r="C19" s="40" t="str">
        <x:v>中科曙光</x:v>
      </x:c>
      <x:c r="D19" s="40" t="str">
        <x:v>人工关注</x:v>
      </x:c>
      <x:c r="E19" s="46" t="n">
        <x:v>50</x:v>
      </x:c>
      <x:c r="F19" s="46" t="n">
        <x:v>61.26</x:v>
      </x:c>
      <x:c r="G19" s="40" t="str">
        <x:v>普通观察</x:v>
      </x:c>
      <x:c r="H19" s="49" t="n">
        <x:v>0</x:v>
      </x:c>
      <x:c r="I19" s="46" t="n">
        <x:v>95.17</x:v>
      </x:c>
      <x:c r="J19" s="46" t="n">
        <x:v>88.26</x:v>
      </x:c>
      <x:c r="K19" s="46" t="n">
        <x:v>109</x:v>
      </x:c>
      <x:c r="L19" s="52" t="str">
        <x:v>公司主营高性能计算机、服务器及存储产品，并围绕高端计算机提供软件开发、系统集成与技术服务，受益于高性能计算、云计算及国产替代趋势。财务状态稳定，营收和利润增长良好，研发投入较高。*</x:v>
      </x:c>
    </x:row>
    <x:row r="20">
      <x:c r="A20" s="41" t="n">
        <x:v>10</x:v>
      </x:c>
      <x:c r="B20" s="44" t="str">
        <x:v>002274</x:v>
      </x:c>
      <x:c r="C20" s="41" t="str">
        <x:v>华昌化工</x:v>
      </x:c>
      <x:c r="D20" s="41" t="str">
        <x:v>模型筛选</x:v>
      </x:c>
      <x:c r="E20" s="47" t="n">
        <x:v>51.5</x:v>
      </x:c>
      <x:c r="F20" s="47" t="n">
        <x:v>60.68</x:v>
      </x:c>
      <x:c r="G20" s="41" t="str">
        <x:v>普通观察</x:v>
      </x:c>
      <x:c r="H20" s="50" t="n">
        <x:v>0.010047</x:v>
      </x:c>
      <x:c r="I20" s="47" t="n">
        <x:v>5.91</x:v>
      </x:c>
      <x:c r="J20" s="47" t="n">
        <x:v>5.68</x:v>
      </x:c>
      <x:c r="K20" s="47" t="n">
        <x:v>6.38</x:v>
      </x:c>
      <x:c r="L20" s="53" t="str">
        <x:v>公司作为综合性煤化工企业，受益于煤化工产业链一体化布局，财务状态稳定，但需关注行业周期和原材料价格波动。*</x:v>
      </x:c>
    </x:row>
  </x:sheetData>
  <x:mergeCells>
    <x:mergeCell ref="A1:L2"/>
    <x:mergeCell ref="A3:L3"/>
    <x:mergeCell ref="A5:C5"/>
    <x:mergeCell ref="A6:C7"/>
    <x:mergeCell ref="D5:F5"/>
    <x:mergeCell ref="D6:F7"/>
    <x:mergeCell ref="G5:I5"/>
    <x:mergeCell ref="G6:I7"/>
    <x:mergeCell ref="J5:L5"/>
    <x:mergeCell ref="J6:L7"/>
    <x:mergeCell ref="A9:L9"/>
  </x:mergeCells>
  <x:conditionalFormatting sqref="G11:G20">
    <x:cfRule type="containsText" dxfId="0" priority="1" operator="containsText" text="优先复核"/>
    <x:cfRule type="containsText" dxfId="1" priority="2" operator="containsText" text="规则阻断"/>
  </x:conditionalFormatting>
  <x:pageMargins left="0.7" right="0.7" top="0.75" bottom="0.75" header="0.3" footer="0.3"/>
  <x:tableParts count="1">
    <x:tablePart xmlns:r="http://schemas.openxmlformats.org/officeDocument/2006/relationships" r:id="R25704d95294945ac"/>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1" hidden="0" customWidth="1"/>
    <x:col min="2" max="2" width="16" hidden="0" customWidth="1"/>
    <x:col min="3" max="3" width="16" hidden="0" customWidth="1"/>
    <x:col min="4" max="4" width="16"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6" hidden="0" customWidth="1"/>
    <x:col min="12" max="12" width="16" hidden="0" customWidth="1"/>
    <x:col min="13" max="13" width="11" hidden="0" customWidth="1"/>
    <x:col min="14" max="14" width="11" hidden="0" customWidth="1"/>
    <x:col min="15" max="15" width="11" hidden="0" customWidth="1"/>
    <x:col min="16" max="16" width="11" hidden="0" customWidth="1"/>
    <x:col min="17" max="17" width="11" hidden="0" customWidth="1"/>
    <x:col min="18" max="18" width="11" hidden="0" customWidth="1"/>
    <x:col min="19" max="19" width="11" hidden="0" customWidth="1"/>
    <x:col min="20" max="20" width="42" hidden="0" customWidth="1"/>
    <x:col min="21" max="21" width="42" hidden="0" customWidth="1"/>
    <x:col min="22" max="22" width="11" hidden="0" customWidth="1"/>
  </x:cols>
  <x:sheetData>
    <x:row r="1" ht="28" customHeight="1">
      <x:c r="A1" s="3" t="str">
        <x:v>重点候选</x:v>
      </x:c>
    </x:row>
    <x:row r="3" ht="22" customHeight="1">
      <x:c r="A3" s="5" t="str">
        <x:v>按深度复核排名排列；星号表示尚未外部核验的保守归纳。</x:v>
      </x:c>
    </x:row>
    <x:row r="4" ht="32" customHeight="1">
      <x:c r="A4" s="34" t="str">
        <x:v>复核排名</x:v>
      </x:c>
      <x:c r="B4" s="34" t="str">
        <x:v>股票代码</x:v>
      </x:c>
      <x:c r="C4" s="34" t="str">
        <x:v>股票名称</x:v>
      </x:c>
      <x:c r="D4" s="34" t="str">
        <x:v>入选来源</x:v>
      </x:c>
      <x:c r="E4" s="34" t="str">
        <x:v>量化排名</x:v>
      </x:c>
      <x:c r="F4" s="34" t="str">
        <x:v>量化得分</x:v>
      </x:c>
      <x:c r="G4" s="34" t="str">
        <x:v>二筛得分</x:v>
      </x:c>
      <x:c r="H4" s="34" t="str">
        <x:v>二筛结论</x:v>
      </x:c>
      <x:c r="I4" s="34" t="str">
        <x:v>深度复核分</x:v>
      </x:c>
      <x:c r="J4" s="34" t="str">
        <x:v>复核优先级</x:v>
      </x:c>
      <x:c r="K4" s="34" t="str">
        <x:v>一级行业</x:v>
      </x:c>
      <x:c r="L4" s="34" t="str">
        <x:v>产业链</x:v>
      </x:c>
      <x:c r="M4" s="34" t="str">
        <x:v>财务状态</x:v>
      </x:c>
      <x:c r="N4" s="34" t="str">
        <x:v>建议仓位</x:v>
      </x:c>
      <x:c r="O4" s="34" t="str">
        <x:v>建议股数</x:v>
      </x:c>
      <x:c r="P4" s="34" t="str">
        <x:v>参考价</x:v>
      </x:c>
      <x:c r="Q4" s="34" t="str">
        <x:v>止损价</x:v>
      </x:c>
      <x:c r="R4" s="34" t="str">
        <x:v>第二目标价</x:v>
      </x:c>
      <x:c r="S4" s="34" t="str">
        <x:v>风险收益比</x:v>
      </x:c>
      <x:c r="T4" s="34" t="str">
        <x:v>核心逻辑</x:v>
      </x:c>
      <x:c r="U4" s="34" t="str">
        <x:v>主要风险</x:v>
      </x:c>
      <x:c r="V4" s="34" t="str">
        <x:v>当前状态</x:v>
      </x:c>
    </x:row>
    <x:row r="5">
      <x:c r="A5" s="39" t="n">
        <x:v>1</x:v>
      </x:c>
      <x:c r="B5" s="42" t="str">
        <x:v>688981</x:v>
      </x:c>
      <x:c r="C5" s="39" t="str">
        <x:v>中芯国际</x:v>
      </x:c>
      <x:c r="D5" s="39" t="str">
        <x:v>模型筛选</x:v>
      </x:c>
      <x:c r="E5" s="39" t="n">
        <x:v>35</x:v>
      </x:c>
      <x:c r="F5" s="45" t="n">
        <x:v>59.4071</x:v>
      </x:c>
      <x:c r="G5" s="45" t="n">
        <x:v>65.5</x:v>
      </x:c>
      <x:c r="H5" s="45" t="str">
        <x:v>继续观察</x:v>
      </x:c>
      <x:c r="I5" s="45" t="n">
        <x:v>65.5</x:v>
      </x:c>
      <x:c r="J5" s="39" t="str">
        <x:v>中</x:v>
      </x:c>
      <x:c r="K5" s="39" t="str">
        <x:v>半导体</x:v>
      </x:c>
      <x:c r="L5" s="39" t="str">
        <x:v>半导体产业链*</x:v>
      </x:c>
      <x:c r="M5" s="39" t="str">
        <x:v>稳定</x:v>
      </x:c>
      <x:c r="N5" s="48" t="n">
        <x:v>0</x:v>
      </x:c>
      <x:c r="O5" s="54" t="n">
        <x:v>0</x:v>
      </x:c>
      <x:c r="P5" s="45" t="n">
        <x:v>145.94</x:v>
      </x:c>
      <x:c r="Q5" s="45" t="n">
        <x:v>134.26</x:v>
      </x:c>
      <x:c r="R5" s="45" t="n">
        <x:v>170.36</x:v>
      </x:c>
      <x:c r="S5" s="45" t="n">
        <x:v>2.0908</x:v>
      </x:c>
      <x:c r="T5" s="51" t="str">
        <x:v>公司作为中国大陆领先的晶圆代工企业，受益于半导体国产替代和先进制程需求增长，财务状态稳定，但需关注技术迭代和地缘政治风险。*</x:v>
      </x:c>
      <x:c r="U5" s="51" t="str">
        <x:v>结果仅供人工复核。</x:v>
      </x:c>
      <x:c r="V5" s="39" t="str">
        <x:v>已生成</x:v>
      </x:c>
    </x:row>
    <x:row r="6">
      <x:c r="A6" s="40" t="n">
        <x:v>2</x:v>
      </x:c>
      <x:c r="B6" s="43" t="str">
        <x:v>603893</x:v>
      </x:c>
      <x:c r="C6" s="40" t="str">
        <x:v>瑞芯微</x:v>
      </x:c>
      <x:c r="D6" s="40" t="str">
        <x:v>模型筛选</x:v>
      </x:c>
      <x:c r="E6" s="40" t="n">
        <x:v>1</x:v>
      </x:c>
      <x:c r="F6" s="46" t="n">
        <x:v>63.0011</x:v>
      </x:c>
      <x:c r="G6" s="46" t="n">
        <x:v>77</x:v>
      </x:c>
      <x:c r="H6" s="46" t="str">
        <x:v>优先复核</x:v>
      </x:c>
      <x:c r="I6" s="46" t="n">
        <x:v>63</x:v>
      </x:c>
      <x:c r="J6" s="40" t="str">
        <x:v>中</x:v>
      </x:c>
      <x:c r="K6" s="40" t="str">
        <x:v>半导体</x:v>
      </x:c>
      <x:c r="L6" s="40" t="str">
        <x:v>集成电路设计*</x:v>
      </x:c>
      <x:c r="M6" s="40" t="str">
        <x:v>稳定</x:v>
      </x:c>
      <x:c r="N6" s="49" t="n">
        <x:v>0</x:v>
      </x:c>
      <x:c r="O6" s="55" t="n">
        <x:v>0</x:v>
      </x:c>
      <x:c r="P6" s="46" t="n">
        <x:v>186.85</x:v>
      </x:c>
      <x:c r="Q6" s="46" t="n">
        <x:v>173.96</x:v>
      </x:c>
      <x:c r="R6" s="46" t="n">
        <x:v>212.62</x:v>
      </x:c>
      <x:c r="S6" s="46" t="n">
        <x:v>1.9992</x:v>
      </x:c>
      <x:c r="T6" s="52" t="str">
        <x:v>公司主营智能应用处理器系统级芯片及周边芯片，受益于消费电子、物联网、人工智能等下游需求增长；财务表现稳健，营收和净利润同比增长显著，研发投入较高。*</x:v>
      </x:c>
      <x:c r="U6" s="52" t="str">
        <x:v>基本面推断置信度较低，行业位置尚不清晰，需要人工复核。</x:v>
      </x:c>
      <x:c r="V6" s="40" t="str">
        <x:v>已生成</x:v>
      </x:c>
    </x:row>
    <x:row r="7">
      <x:c r="A7" s="40" t="n">
        <x:v>3</x:v>
      </x:c>
      <x:c r="B7" s="43" t="str">
        <x:v>300474</x:v>
      </x:c>
      <x:c r="C7" s="40" t="str">
        <x:v>景嘉微</x:v>
      </x:c>
      <x:c r="D7" s="40" t="str">
        <x:v>模型筛选</x:v>
      </x:c>
      <x:c r="E7" s="40" t="n">
        <x:v>3</x:v>
      </x:c>
      <x:c r="F7" s="46" t="n">
        <x:v>62.4956</x:v>
      </x:c>
      <x:c r="G7" s="46" t="n">
        <x:v>50</x:v>
      </x:c>
      <x:c r="H7" s="46" t="str">
        <x:v>普通观察</x:v>
      </x:c>
      <x:c r="I7" s="46" t="n">
        <x:v>62.5</x:v>
      </x:c>
      <x:c r="J7" s="40" t="str">
        <x:v>中</x:v>
      </x:c>
      <x:c r="K7" s="40" t="str">
        <x:v>元器件</x:v>
      </x:c>
      <x:c r="L7" s="40" t="str">
        <x:v>集成电路与电子元器件*</x:v>
      </x:c>
      <x:c r="M7" s="40" t="str">
        <x:v>承压</x:v>
      </x:c>
      <x:c r="N7" s="49" t="n">
        <x:v>0.006549</x:v>
      </x:c>
      <x:c r="O7" s="55" t="n">
        <x:v>100</x:v>
      </x:c>
      <x:c r="P7" s="46" t="n">
        <x:v>65.49</x:v>
      </x:c>
      <x:c r="Q7" s="46" t="n">
        <x:v>61.81</x:v>
      </x:c>
      <x:c r="R7" s="46" t="n">
        <x:v>72.86</x:v>
      </x:c>
      <x:c r="S7" s="46" t="n">
        <x:v>2.0027</x:v>
      </x:c>
      <x:c r="T7" s="52" t="str">
        <x:v>公司主营高可靠军用电子产品，是国内唯一成功自主研发国产化图形处理芯片并产业化的企业，受益于国产替代和军工信息化趋势。但近期财务表现承压，营收下滑，净利润亏损，研发投入较高。*</x:v>
      </x:c>
      <x:c r="U7" s="52" t="str">
        <x:v>结果仅供人工复核。</x:v>
      </x:c>
      <x:c r="V7" s="40" t="str">
        <x:v>已生成</x:v>
      </x:c>
    </x:row>
    <x:row r="8">
      <x:c r="A8" s="40" t="n">
        <x:v>4</x:v>
      </x:c>
      <x:c r="B8" s="43" t="str">
        <x:v>002558</x:v>
      </x:c>
      <x:c r="C8" s="40" t="str">
        <x:v>巨人网络</x:v>
      </x:c>
      <x:c r="D8" s="40" t="str">
        <x:v>模型筛选</x:v>
      </x:c>
      <x:c r="E8" s="40" t="n">
        <x:v>4</x:v>
      </x:c>
      <x:c r="F8" s="46" t="n">
        <x:v>62.0724</x:v>
      </x:c>
      <x:c r="G8" s="46" t="n">
        <x:v>56</x:v>
      </x:c>
      <x:c r="H8" s="46" t="str">
        <x:v>继续观察</x:v>
      </x:c>
      <x:c r="I8" s="46" t="n">
        <x:v>62.07</x:v>
      </x:c>
      <x:c r="J8" s="40" t="str">
        <x:v>中</x:v>
      </x:c>
      <x:c r="K8" s="40" t="str">
        <x:v>互联网</x:v>
      </x:c>
      <x:c r="L8" s="40" t="str">
        <x:v>互联网游戏*</x:v>
      </x:c>
      <x:c r="M8" s="40" t="str">
        <x:v>稳定</x:v>
      </x:c>
      <x:c r="N8" s="49" t="n">
        <x:v>0.006038</x:v>
      </x:c>
      <x:c r="O8" s="55" t="n">
        <x:v>200</x:v>
      </x:c>
      <x:c r="P8" s="46" t="n">
        <x:v>30.19</x:v>
      </x:c>
      <x:c r="Q8" s="46" t="n">
        <x:v>28.17</x:v>
      </x:c>
      <x:c r="R8" s="46" t="n">
        <x:v>34.23</x:v>
      </x:c>
      <x:c r="S8" s="46" t="n">
        <x:v>2</x:v>
      </x:c>
      <x:c r="T8" s="52" t="str">
        <x:v>公司主营互联网游戏和社区工具，拥有多款国民级产品，财务表现稳健，营收和利润高速增长，毛利率高，现金流良好。*</x:v>
      </x:c>
      <x:c r="U8" s="52" t="str">
        <x:v>结果仅供人工复核。</x:v>
      </x:c>
      <x:c r="V8" s="40" t="str">
        <x:v>已生成</x:v>
      </x:c>
    </x:row>
    <x:row r="9">
      <x:c r="A9" s="40" t="n">
        <x:v>5</x:v>
      </x:c>
      <x:c r="B9" s="43" t="str">
        <x:v>000977</x:v>
      </x:c>
      <x:c r="C9" s="40" t="str">
        <x:v>浪潮信息</x:v>
      </x:c>
      <x:c r="D9" s="40" t="str">
        <x:v>模型筛选</x:v>
      </x:c>
      <x:c r="E9" s="40" t="n">
        <x:v>6</x:v>
      </x:c>
      <x:c r="F9" s="46" t="n">
        <x:v>61.805</x:v>
      </x:c>
      <x:c r="G9" s="46" t="n">
        <x:v>50</x:v>
      </x:c>
      <x:c r="H9" s="46" t="str">
        <x:v>普通观察</x:v>
      </x:c>
      <x:c r="I9" s="46" t="n">
        <x:v>61.8</x:v>
      </x:c>
      <x:c r="J9" s="40" t="str">
        <x:v>仅复核</x:v>
      </x:c>
      <x:c r="K9" s="40" t="str">
        <x:v>IT设备</x:v>
      </x:c>
      <x:c r="L9" s="40" t="str">
        <x:v>IT设备与云计算基础设施*</x:v>
      </x:c>
      <x:c r="M9" s="40" t="str">
        <x:v>稳定</x:v>
      </x:c>
      <x:c r="N9" s="49" t="n">
        <x:v>0</x:v>
      </x:c>
      <x:c r="O9" s="55" t="n">
        <x:v>0</x:v>
      </x:c>
      <x:c r="P9" s="46" t="n">
        <x:v>74.3</x:v>
      </x:c>
      <x:c r="Q9" s="46" t="n">
        <x:v>68.88</x:v>
      </x:c>
      <x:c r="R9" s="46" t="n">
        <x:v>85.13</x:v>
      </x:c>
      <x:c r="S9" s="46" t="n">
        <x:v>1.9982</x:v>
      </x:c>
      <x:c r="T9" s="52" t="str">
        <x:v>公司主营计算机软硬件及系统集成，受益于云计算、大数据和智慧城市发展，但营收下滑，经营现金流为负，需关注。*</x:v>
      </x:c>
      <x:c r="U9" s="52" t="str">
        <x:v>结果仅供人工复核。</x:v>
      </x:c>
      <x:c r="V9" s="40" t="str">
        <x:v>已生成</x:v>
      </x:c>
    </x:row>
    <x:row r="10">
      <x:c r="A10" s="40" t="n">
        <x:v>6</x:v>
      </x:c>
      <x:c r="B10" s="43" t="str">
        <x:v>688135</x:v>
      </x:c>
      <x:c r="C10" s="40" t="str">
        <x:v>利扬芯片</x:v>
      </x:c>
      <x:c r="D10" s="40" t="str">
        <x:v>模型筛选</x:v>
      </x:c>
      <x:c r="E10" s="40" t="n">
        <x:v>7</x:v>
      </x:c>
      <x:c r="F10" s="46" t="n">
        <x:v>61.7652</x:v>
      </x:c>
      <x:c r="G10" s="46" t="n">
        <x:v>50</x:v>
      </x:c>
      <x:c r="H10" s="46" t="str">
        <x:v>普通观察</x:v>
      </x:c>
      <x:c r="I10" s="46" t="n">
        <x:v>61.77</x:v>
      </x:c>
      <x:c r="J10" s="40" t="str">
        <x:v>中</x:v>
      </x:c>
      <x:c r="K10" s="40" t="str">
        <x:v>半导体</x:v>
      </x:c>
      <x:c r="L10" s="40" t="str">
        <x:v>集成电路测试服务*</x:v>
      </x:c>
      <x:c r="M10" s="40" t="str">
        <x:v>稳定</x:v>
      </x:c>
      <x:c r="N10" s="49" t="n">
        <x:v>0.003899</x:v>
      </x:c>
      <x:c r="O10" s="55" t="n">
        <x:v>100</x:v>
      </x:c>
      <x:c r="P10" s="46" t="n">
        <x:v>38.99</x:v>
      </x:c>
      <x:c r="Q10" s="46" t="n">
        <x:v>35.87</x:v>
      </x:c>
      <x:c r="R10" s="46" t="n">
        <x:v>45.77</x:v>
      </x:c>
      <x:c r="S10" s="46" t="n">
        <x:v>2.1731</x:v>
      </x:c>
      <x:c r="T10" s="52" t="str">
        <x:v>公司作为独立第三方集成电路测试服务商，主营晶圆测试和芯片成品测试，受益于半导体产业链分工细化和国产替代趋势。财务显示营收和利润增长，但规模较小，需关注后续订单和产能扩张。*</x:v>
      </x:c>
      <x:c r="U10" s="52" t="str">
        <x:v>结果仅供人工复核。</x:v>
      </x:c>
      <x:c r="V10" s="40" t="str">
        <x:v>已生成</x:v>
      </x:c>
    </x:row>
    <x:row r="11">
      <x:c r="A11" s="40" t="n">
        <x:v>7</x:v>
      </x:c>
      <x:c r="B11" s="43" t="str">
        <x:v>002605</x:v>
      </x:c>
      <x:c r="C11" s="40" t="str">
        <x:v>姚记科技</x:v>
      </x:c>
      <x:c r="D11" s="40" t="str">
        <x:v>模型筛选</x:v>
      </x:c>
      <x:c r="E11" s="40" t="n">
        <x:v>8</x:v>
      </x:c>
      <x:c r="F11" s="46" t="n">
        <x:v>61.7576</x:v>
      </x:c>
      <x:c r="G11" s="46" t="n">
        <x:v>50</x:v>
      </x:c>
      <x:c r="H11" s="46" t="str">
        <x:v>普通观察</x:v>
      </x:c>
      <x:c r="I11" s="46" t="n">
        <x:v>61.76</x:v>
      </x:c>
      <x:c r="J11" s="40" t="str">
        <x:v>中</x:v>
      </x:c>
      <x:c r="K11" s="40" t="str">
        <x:v>互联网</x:v>
      </x:c>
      <x:c r="L11" s="40" t="str">
        <x:v>文娱消费品*</x:v>
      </x:c>
      <x:c r="M11" s="40" t="str">
        <x:v>稳定</x:v>
      </x:c>
      <x:c r="N11" s="49" t="n">
        <x:v>0.008224</x:v>
      </x:c>
      <x:c r="O11" s="55" t="n">
        <x:v>400</x:v>
      </x:c>
      <x:c r="P11" s="46" t="n">
        <x:v>20.56</x:v>
      </x:c>
      <x:c r="Q11" s="46" t="n">
        <x:v>19.71</x:v>
      </x:c>
      <x:c r="R11" s="46" t="n">
        <x:v>22.26</x:v>
      </x:c>
      <x:c r="S11" s="46" t="n">
        <x:v>2</x:v>
      </x:c>
      <x:c r="T11" s="52" t="str">
        <x:v>公司主营扑克牌和移动游戏，受益于休闲娱乐消费和游戏行业增长，但需关注竞争和监管风险。*</x:v>
      </x:c>
      <x:c r="U11" s="52" t="str">
        <x:v>结果仅供人工复核。</x:v>
      </x:c>
      <x:c r="V11" s="40" t="str">
        <x:v>已生成</x:v>
      </x:c>
    </x:row>
    <x:row r="12">
      <x:c r="A12" s="40" t="n">
        <x:v>8</x:v>
      </x:c>
      <x:c r="B12" s="43" t="str">
        <x:v>301345</x:v>
      </x:c>
      <x:c r="C12" s="40" t="str">
        <x:v>涛涛车业</x:v>
      </x:c>
      <x:c r="D12" s="40" t="str">
        <x:v>模型筛选</x:v>
      </x:c>
      <x:c r="E12" s="40" t="n">
        <x:v>9</x:v>
      </x:c>
      <x:c r="F12" s="46" t="n">
        <x:v>61.3397</x:v>
      </x:c>
      <x:c r="G12" s="46" t="n">
        <x:v>53.5</x:v>
      </x:c>
      <x:c r="H12" s="46" t="str">
        <x:v>普通观察</x:v>
      </x:c>
      <x:c r="I12" s="46" t="n">
        <x:v>61.34</x:v>
      </x:c>
      <x:c r="J12" s="40" t="str">
        <x:v>中</x:v>
      </x:c>
      <x:c r="K12" s="40" t="str">
        <x:v>摩托车</x:v>
      </x:c>
      <x:c r="L12" s="40" t="str">
        <x:v>电动出行与户外休闲车辆*</x:v>
      </x:c>
      <x:c r="M12" s="40" t="str">
        <x:v>稳定</x:v>
      </x:c>
      <x:c r="N12" s="49" t="n">
        <x:v>0</x:v>
      </x:c>
      <x:c r="O12" s="55" t="n">
        <x:v>0</x:v>
      </x:c>
      <x:c r="P12" s="46" t="n">
        <x:v>228.78</x:v>
      </x:c>
      <x:c r="Q12" s="46" t="n">
        <x:v>212.55</x:v>
      </x:c>
      <x:c r="R12" s="46" t="n">
        <x:v>261.24</x:v>
      </x:c>
      <x:c r="S12" s="46" t="n">
        <x:v>2</x:v>
      </x:c>
      <x:c r="T12" s="52" t="str">
        <x:v>公司主营电动出行和户外特种车，受益于电动化替代和户外运动普及，财务表现稳健，营收和利润高速增长。*</x:v>
      </x:c>
      <x:c r="U12" s="52" t="str">
        <x:v>结果仅供人工复核。</x:v>
      </x:c>
      <x:c r="V12" s="40" t="str">
        <x:v>已生成</x:v>
      </x:c>
    </x:row>
    <x:row r="13">
      <x:c r="A13" s="40" t="n">
        <x:v>9</x:v>
      </x:c>
      <x:c r="B13" s="43" t="str">
        <x:v>603019</x:v>
      </x:c>
      <x:c r="C13" s="40" t="str">
        <x:v>中科曙光</x:v>
      </x:c>
      <x:c r="D13" s="40" t="str">
        <x:v>人工关注</x:v>
      </x:c>
      <x:c r="E13" s="40" t="n">
        <x:v>10</x:v>
      </x:c>
      <x:c r="F13" s="46" t="n">
        <x:v>61.2617</x:v>
      </x:c>
      <x:c r="G13" s="46" t="n">
        <x:v>50</x:v>
      </x:c>
      <x:c r="H13" s="46" t="str">
        <x:v>普通观察</x:v>
      </x:c>
      <x:c r="I13" s="46" t="n">
        <x:v>61.26</x:v>
      </x:c>
      <x:c r="J13" s="40" t="str">
        <x:v>中</x:v>
      </x:c>
      <x:c r="K13" s="40" t="str">
        <x:v>IT设备</x:v>
      </x:c>
      <x:c r="L13" s="40" t="str">
        <x:v>IT设备与计算服务*</x:v>
      </x:c>
      <x:c r="M13" s="40" t="str">
        <x:v>稳定</x:v>
      </x:c>
      <x:c r="N13" s="49" t="n">
        <x:v>0</x:v>
      </x:c>
      <x:c r="O13" s="55" t="n">
        <x:v>0</x:v>
      </x:c>
      <x:c r="P13" s="46" t="n">
        <x:v>95.17</x:v>
      </x:c>
      <x:c r="Q13" s="46" t="n">
        <x:v>88.26</x:v>
      </x:c>
      <x:c r="R13" s="46" t="n">
        <x:v>109</x:v>
      </x:c>
      <x:c r="S13" s="46" t="n">
        <x:v>2.0014</x:v>
      </x:c>
      <x:c r="T13" s="52" t="str">
        <x:v>公司主营高性能计算机、服务器及存储产品，并围绕高端计算机提供软件开发、系统集成与技术服务，受益于高性能计算、云计算及国产替代趋势。财务状态稳定，营收和利润增长良好，研发投入较高。*</x:v>
      </x:c>
      <x:c r="U13" s="52" t="str">
        <x:v>结果仅供人工复核。</x:v>
      </x:c>
      <x:c r="V13" s="40" t="str">
        <x:v>已生成</x:v>
      </x:c>
    </x:row>
    <x:row r="14">
      <x:c r="A14" s="40" t="n">
        <x:v>10</x:v>
      </x:c>
      <x:c r="B14" s="43" t="str">
        <x:v>002274</x:v>
      </x:c>
      <x:c r="C14" s="40" t="str">
        <x:v>华昌化工</x:v>
      </x:c>
      <x:c r="D14" s="40" t="str">
        <x:v>模型筛选</x:v>
      </x:c>
      <x:c r="E14" s="40" t="n">
        <x:v>16</x:v>
      </x:c>
      <x:c r="F14" s="46" t="n">
        <x:v>60.676</x:v>
      </x:c>
      <x:c r="G14" s="46" t="n">
        <x:v>51.5</x:v>
      </x:c>
      <x:c r="H14" s="46" t="str">
        <x:v>普通观察</x:v>
      </x:c>
      <x:c r="I14" s="46" t="n">
        <x:v>60.68</x:v>
      </x:c>
      <x:c r="J14" s="40" t="str">
        <x:v>中</x:v>
      </x:c>
      <x:c r="K14" s="40" t="str">
        <x:v>农药化肥</x:v>
      </x:c>
      <x:c r="L14" s="40" t="str">
        <x:v>煤化工产业链*</x:v>
      </x:c>
      <x:c r="M14" s="40" t="str">
        <x:v>稳定</x:v>
      </x:c>
      <x:c r="N14" s="49" t="n">
        <x:v>0.010047</x:v>
      </x:c>
      <x:c r="O14" s="55" t="n">
        <x:v>1700</x:v>
      </x:c>
      <x:c r="P14" s="46" t="n">
        <x:v>5.91</x:v>
      </x:c>
      <x:c r="Q14" s="46" t="n">
        <x:v>5.68</x:v>
      </x:c>
      <x:c r="R14" s="46" t="n">
        <x:v>6.38</x:v>
      </x:c>
      <x:c r="S14" s="46" t="n">
        <x:v>2.0435</x:v>
      </x:c>
      <x:c r="T14" s="52" t="str">
        <x:v>公司作为综合性煤化工企业，受益于煤化工产业链一体化布局，财务状态稳定，但需关注行业周期和原材料价格波动。*</x:v>
      </x:c>
      <x:c r="U14" s="52" t="str">
        <x:v>结果仅供人工复核。</x:v>
      </x:c>
      <x:c r="V14" s="40" t="str">
        <x:v>已生成</x:v>
      </x:c>
    </x:row>
    <x:row r="15">
      <x:c r="A15" s="40" t="n">
        <x:v>11</x:v>
      </x:c>
      <x:c r="B15" s="43" t="str">
        <x:v>300604</x:v>
      </x:c>
      <x:c r="C15" s="40" t="str">
        <x:v>长川科技</x:v>
      </x:c>
      <x:c r="D15" s="40" t="str">
        <x:v>模型筛选</x:v>
      </x:c>
      <x:c r="E15" s="40" t="n">
        <x:v>43</x:v>
      </x:c>
      <x:c r="F15" s="46" t="n">
        <x:v>58.7417</x:v>
      </x:c>
      <x:c r="G15" s="46" t="n">
        <x:v>59</x:v>
      </x:c>
      <x:c r="H15" s="46" t="str">
        <x:v>继续观察</x:v>
      </x:c>
      <x:c r="I15" s="46" t="n">
        <x:v>58.74</x:v>
      </x:c>
      <x:c r="J15" s="40" t="str">
        <x:v>中</x:v>
      </x:c>
      <x:c r="K15" s="40" t="str">
        <x:v>半导体</x:v>
      </x:c>
      <x:c r="L15" s="40" t="str">
        <x:v>半导体设备*</x:v>
      </x:c>
      <x:c r="M15" s="40" t="str">
        <x:v>稳定</x:v>
      </x:c>
      <x:c r="N15" s="49" t="n">
        <x:v>0</x:v>
      </x:c>
      <x:c r="O15" s="55" t="n">
        <x:v>0</x:v>
      </x:c>
      <x:c r="P15" s="46" t="n">
        <x:v>293.81</x:v>
      </x:c>
      <x:c r="Q15" s="46" t="n">
        <x:v>270.31</x:v>
      </x:c>
      <x:c r="R15" s="46" t="n">
        <x:v>358.49</x:v>
      </x:c>
      <x:c r="S15" s="46" t="n">
        <x:v>2.7523</x:v>
      </x:c>
      <x:c r="T15" s="52" t="str">
        <x:v>公司主营集成电路专用设备，受益于半导体设备国产替代趋势，营收和利润高速增长，但经营现金流为负需关注。*</x:v>
      </x:c>
      <x:c r="U15" s="52" t="str">
        <x:v>结果仅供人工复核。</x:v>
      </x:c>
      <x:c r="V15" s="40" t="str">
        <x:v>已生成</x:v>
      </x:c>
    </x:row>
    <x:row r="16">
      <x:c r="A16" s="40" t="n">
        <x:v>12</x:v>
      </x:c>
      <x:c r="B16" s="43" t="str">
        <x:v>688343</x:v>
      </x:c>
      <x:c r="C16" s="40" t="str">
        <x:v>云天励飞</x:v>
      </x:c>
      <x:c r="D16" s="40" t="str">
        <x:v>模型筛选</x:v>
      </x:c>
      <x:c r="E16" s="40" t="n">
        <x:v>57</x:v>
      </x:c>
      <x:c r="F16" s="46" t="n">
        <x:v>57.7289</x:v>
      </x:c>
      <x:c r="G16" s="46" t="n">
        <x:v>59.5</x:v>
      </x:c>
      <x:c r="H16" s="46" t="str">
        <x:v>继续观察</x:v>
      </x:c>
      <x:c r="I16" s="46" t="n">
        <x:v>57.7</x:v>
      </x:c>
      <x:c r="J16" s="40" t="str">
        <x:v>仅复核</x:v>
      </x:c>
      <x:c r="K16" s="40" t="str">
        <x:v>软件服务</x:v>
      </x:c>
      <x:c r="L16" s="40" t="str">
        <x:v>人工智能产业链*</x:v>
      </x:c>
      <x:c r="M16" s="40" t="str">
        <x:v>稳定</x:v>
      </x:c>
      <x:c r="N16" s="49" t="n">
        <x:v>0</x:v>
      </x:c>
      <x:c r="O16" s="55" t="n">
        <x:v>0</x:v>
      </x:c>
      <x:c r="P16" s="46" t="n">
        <x:v>74.53</x:v>
      </x:c>
      <x:c r="Q16" s="46" t="n">
        <x:v>68.57</x:v>
      </x:c>
      <x:c r="R16" s="46" t="n">
        <x:v>87.51</x:v>
      </x:c>
      <x:c r="S16" s="46" t="n">
        <x:v>2.1779</x:v>
      </x:c>
      <x:c r="T16" s="52" t="str">
        <x:v>公司以人工智能算法和芯片为核心，提供软硬件解决方案，收入增长但持续亏损，研发投入高，需关注盈利改善。*</x:v>
      </x:c>
      <x:c r="U16" s="52" t="str">
        <x:v>结果仅供人工复核。</x:v>
      </x:c>
      <x:c r="V16" s="40" t="str">
        <x:v>已生成</x:v>
      </x:c>
    </x:row>
    <x:row r="17">
      <x:c r="A17" s="40" t="n">
        <x:v>13</x:v>
      </x:c>
      <x:c r="B17" s="43" t="str">
        <x:v>301379</x:v>
      </x:c>
      <x:c r="C17" s="40" t="str">
        <x:v>天山电子</x:v>
      </x:c>
      <x:c r="D17" s="40" t="str">
        <x:v>模型筛选</x:v>
      </x:c>
      <x:c r="E17" s="40" t="n">
        <x:v>75</x:v>
      </x:c>
      <x:c r="F17" s="46" t="n">
        <x:v>56.7366</x:v>
      </x:c>
      <x:c r="G17" s="46" t="n">
        <x:v>63.5</x:v>
      </x:c>
      <x:c r="H17" s="46" t="str">
        <x:v>继续观察</x:v>
      </x:c>
      <x:c r="I17" s="46" t="n">
        <x:v>56.7</x:v>
      </x:c>
      <x:c r="J17" s="40" t="str">
        <x:v>中</x:v>
      </x:c>
      <x:c r="K17" s="40" t="str">
        <x:v>元器件</x:v>
      </x:c>
      <x:c r="L17" s="40" t="str">
        <x:v>液晶显示产业链*</x:v>
      </x:c>
      <x:c r="M17" s="40" t="str">
        <x:v>稳定</x:v>
      </x:c>
      <x:c r="N17" s="49" t="n">
        <x:v>0.002962</x:v>
      </x:c>
      <x:c r="O17" s="55" t="n">
        <x:v>100</x:v>
      </x:c>
      <x:c r="P17" s="46" t="n">
        <x:v>29.62</x:v>
      </x:c>
      <x:c r="Q17" s="46" t="n">
        <x:v>27.25</x:v>
      </x:c>
      <x:c r="R17" s="46" t="n">
        <x:v>36.51</x:v>
      </x:c>
      <x:c r="S17" s="46" t="n">
        <x:v>2.9072</x:v>
      </x:c>
      <x:c r="T17" s="52" t="str">
        <x:v>公司主营专业显示领域定制化液晶显示屏及模组，拥有全自动生产线和一站式生产能力，但近期净利润下滑明显，需关注盈利改善情况。*</x:v>
      </x:c>
      <x:c r="U17" s="52" t="str">
        <x:v>结果仅供人工复核。</x:v>
      </x:c>
      <x:c r="V17" s="40" t="str">
        <x:v>已生成</x:v>
      </x:c>
    </x:row>
    <x:row r="18">
      <x:c r="A18" s="40" t="n">
        <x:v>14</x:v>
      </x:c>
      <x:c r="B18" s="43" t="str">
        <x:v>300654</x:v>
      </x:c>
      <x:c r="C18" s="40" t="str">
        <x:v>世纪天鸿</x:v>
      </x:c>
      <x:c r="D18" s="40" t="str">
        <x:v>模型筛选</x:v>
      </x:c>
      <x:c r="E18" s="40" t="n">
        <x:v>80</x:v>
      </x:c>
      <x:c r="F18" s="46" t="n">
        <x:v>56.4149</x:v>
      </x:c>
      <x:c r="G18" s="46" t="n">
        <x:v>59</x:v>
      </x:c>
      <x:c r="H18" s="46" t="str">
        <x:v>继续观察</x:v>
      </x:c>
      <x:c r="I18" s="46" t="n">
        <x:v>56.41</x:v>
      </x:c>
      <x:c r="J18" s="40" t="str">
        <x:v>中</x:v>
      </x:c>
      <x:c r="K18" s="40" t="str">
        <x:v>出版业</x:v>
      </x:c>
      <x:c r="L18" s="40" t="str">
        <x:v>教育出版*</x:v>
      </x:c>
      <x:c r="M18" s="40" t="str">
        <x:v>稳定</x:v>
      </x:c>
      <x:c r="N18" s="49" t="n">
        <x:v>0.006426</x:v>
      </x:c>
      <x:c r="O18" s="55" t="n">
        <x:v>600</x:v>
      </x:c>
      <x:c r="P18" s="46" t="n">
        <x:v>10.71</x:v>
      </x:c>
      <x:c r="Q18" s="46" t="n">
        <x:v>10.14</x:v>
      </x:c>
      <x:c r="R18" s="46" t="n">
        <x:v>11.85</x:v>
      </x:c>
      <x:c r="S18" s="46" t="n">
        <x:v>2</x:v>
      </x:c>
      <x:c r="T18" s="52" t="str">
        <x:v>公司主营助学读物策划发行，同时拓展教育信息化业务，但营收下滑、经营现金流为负，需关注转型进展。*</x:v>
      </x:c>
      <x:c r="U18" s="52" t="str">
        <x:v>结果仅供人工复核。</x:v>
      </x:c>
      <x:c r="V18" s="40" t="str">
        <x:v>已生成</x:v>
      </x:c>
    </x:row>
    <x:row r="19">
      <x:c r="A19" s="40" t="n">
        <x:v>15</x:v>
      </x:c>
      <x:c r="B19" s="43" t="str">
        <x:v>002236</x:v>
      </x:c>
      <x:c r="C19" s="40" t="str">
        <x:v>大华股份</x:v>
      </x:c>
      <x:c r="D19" s="40" t="str">
        <x:v>模型筛选</x:v>
      </x:c>
      <x:c r="E19" s="40" t="n">
        <x:v>78</x:v>
      </x:c>
      <x:c r="F19" s="46" t="n">
        <x:v>56.4335</x:v>
      </x:c>
      <x:c r="G19" s="46" t="n">
        <x:v>58.4</x:v>
      </x:c>
      <x:c r="H19" s="46" t="str">
        <x:v>继续观察</x:v>
      </x:c>
      <x:c r="I19" s="46" t="n">
        <x:v>56.4</x:v>
      </x:c>
      <x:c r="J19" s="40" t="str">
        <x:v>中</x:v>
      </x:c>
      <x:c r="K19" s="40" t="str">
        <x:v>IT设备</x:v>
      </x:c>
      <x:c r="L19" s="40" t="str">
        <x:v>安防视频监控*</x:v>
      </x:c>
      <x:c r="M19" s="40" t="str">
        <x:v>稳定</x:v>
      </x:c>
      <x:c r="N19" s="49" t="n">
        <x:v>0.00792</x:v>
      </x:c>
      <x:c r="O19" s="55" t="n">
        <x:v>500</x:v>
      </x:c>
      <x:c r="P19" s="46" t="n">
        <x:v>15.84</x:v>
      </x:c>
      <x:c r="Q19" s="46" t="n">
        <x:v>15.21</x:v>
      </x:c>
      <x:c r="R19" s="46" t="n">
        <x:v>17.1</x:v>
      </x:c>
      <x:c r="S19" s="46" t="n">
        <x:v>2</x:v>
      </x:c>
      <x:c r="T19" s="52" t="str">
        <x:v>公司主营安防视频监控产品，受益于智慧城市和物联网发展，但需关注现金流压力。*</x:v>
      </x:c>
      <x:c r="U19" s="52" t="str">
        <x:v>结果仅供人工复核。</x:v>
      </x:c>
      <x:c r="V19" s="40" t="str">
        <x:v>已生成</x:v>
      </x:c>
    </x:row>
    <x:row r="20">
      <x:c r="A20" s="40" t="n">
        <x:v>16</x:v>
      </x:c>
      <x:c r="B20" s="43" t="str">
        <x:v>688019</x:v>
      </x:c>
      <x:c r="C20" s="40" t="str">
        <x:v>安集科技</x:v>
      </x:c>
      <x:c r="D20" s="40" t="str">
        <x:v>模型筛选</x:v>
      </x:c>
      <x:c r="E20" s="40" t="n">
        <x:v>82</x:v>
      </x:c>
      <x:c r="F20" s="46" t="n">
        <x:v>56.3752</x:v>
      </x:c>
      <x:c r="G20" s="46" t="n">
        <x:v>53.5</x:v>
      </x:c>
      <x:c r="H20" s="46" t="str">
        <x:v>普通观察</x:v>
      </x:c>
      <x:c r="I20" s="46" t="n">
        <x:v>56.38</x:v>
      </x:c>
      <x:c r="J20" s="40" t="str">
        <x:v>中</x:v>
      </x:c>
      <x:c r="K20" s="40" t="str">
        <x:v>半导体</x:v>
      </x:c>
      <x:c r="L20" s="40" t="str">
        <x:v>半导体材料*</x:v>
      </x:c>
      <x:c r="M20" s="40" t="str">
        <x:v>稳定</x:v>
      </x:c>
      <x:c r="N20" s="49" t="n">
        <x:v>0</x:v>
      </x:c>
      <x:c r="O20" s="55" t="n">
        <x:v>0</x:v>
      </x:c>
      <x:c r="P20" s="46" t="n">
        <x:v>274.83</x:v>
      </x:c>
      <x:c r="Q20" s="46" t="n">
        <x:v>252.84</x:v>
      </x:c>
      <x:c r="R20" s="46" t="n">
        <x:v>336.65</x:v>
      </x:c>
      <x:c r="S20" s="46" t="n">
        <x:v>2.8113</x:v>
      </x:c>
      <x:c r="T20" s="52" t="str">
        <x:v>公司主营关键半导体材料研发和产业化，产品包括化学机械抛光液和光刻胶去除剂，应用于集成电路制造和先进封装，实现进口替代。财务状态稳定，营收和利润增长良好。*</x:v>
      </x:c>
      <x:c r="U20" s="52" t="str">
        <x:v>结果仅供人工复核。</x:v>
      </x:c>
      <x:c r="V20" s="40" t="str">
        <x:v>已生成</x:v>
      </x:c>
    </x:row>
    <x:row r="21">
      <x:c r="A21" s="40" t="n">
        <x:v>17</x:v>
      </x:c>
      <x:c r="B21" s="43" t="str">
        <x:v>001314</x:v>
      </x:c>
      <x:c r="C21" s="40" t="str">
        <x:v>亿道信息</x:v>
      </x:c>
      <x:c r="D21" s="40" t="str">
        <x:v>模型筛选</x:v>
      </x:c>
      <x:c r="E21" s="40" t="n">
        <x:v>88</x:v>
      </x:c>
      <x:c r="F21" s="46" t="n">
        <x:v>56.0398</x:v>
      </x:c>
      <x:c r="G21" s="46" t="n">
        <x:v>58.5</x:v>
      </x:c>
      <x:c r="H21" s="46" t="str">
        <x:v>继续观察</x:v>
      </x:c>
      <x:c r="I21" s="46" t="n">
        <x:v>56</x:v>
      </x:c>
      <x:c r="J21" s="40" t="str">
        <x:v>中</x:v>
      </x:c>
      <x:c r="K21" s="40" t="str">
        <x:v>元器件</x:v>
      </x:c>
      <x:c r="L21" s="40" t="str">
        <x:v>消费电子产业链*</x:v>
      </x:c>
      <x:c r="M21" s="40" t="str">
        <x:v>稳定</x:v>
      </x:c>
      <x:c r="N21" s="49" t="n">
        <x:v>0</x:v>
      </x:c>
      <x:c r="O21" s="55" t="n">
        <x:v>0</x:v>
      </x:c>
      <x:c r="P21" s="46" t="n">
        <x:v>56.27</x:v>
      </x:c>
      <x:c r="Q21" s="46" t="n">
        <x:v>52.35</x:v>
      </x:c>
      <x:c r="R21" s="46" t="n">
        <x:v>64.12</x:v>
      </x:c>
      <x:c r="S21" s="46" t="n">
        <x:v>2.0026</x:v>
      </x:c>
      <x:c r="T21" s="52" t="str">
        <x:v>公司主营行业智能终端平板产品及技术开发服务，受益于工业数字化和物联网终端需求增长，但经营现金流为负，需关注资金周转。*</x:v>
      </x:c>
      <x:c r="U21" s="52" t="str">
        <x:v>结果仅供人工复核。</x:v>
      </x:c>
      <x:c r="V21" s="40" t="str">
        <x:v>已生成</x:v>
      </x:c>
    </x:row>
    <x:row r="22">
      <x:c r="A22" s="40" t="n">
        <x:v>18</x:v>
      </x:c>
      <x:c r="B22" s="43" t="str">
        <x:v>002965</x:v>
      </x:c>
      <x:c r="C22" s="40" t="str">
        <x:v>祥鑫科技</x:v>
      </x:c>
      <x:c r="D22" s="40" t="str">
        <x:v>模型筛选</x:v>
      </x:c>
      <x:c r="E22" s="40" t="n">
        <x:v>95</x:v>
      </x:c>
      <x:c r="F22" s="46" t="n">
        <x:v>55.7712</x:v>
      </x:c>
      <x:c r="G22" s="46" t="n">
        <x:v>57.5</x:v>
      </x:c>
      <x:c r="H22" s="46" t="str">
        <x:v>继续观察</x:v>
      </x:c>
      <x:c r="I22" s="46" t="n">
        <x:v>55.77</x:v>
      </x:c>
      <x:c r="J22" s="40" t="str">
        <x:v>仅复核</x:v>
      </x:c>
      <x:c r="K22" s="40" t="str">
        <x:v>汽车配件</x:v>
      </x:c>
      <x:c r="L22" s="40" t="str">
        <x:v>汽车零部件及模具制造*</x:v>
      </x:c>
      <x:c r="M22" s="40" t="str">
        <x:v>承压</x:v>
      </x:c>
      <x:c r="N22" s="49" t="n">
        <x:v>0</x:v>
      </x:c>
      <x:c r="O22" s="55" t="n">
        <x:v>0</x:v>
      </x:c>
      <x:c r="P22" s="46" t="n">
        <x:v>45.58</x:v>
      </x:c>
      <x:c r="Q22" s="46" t="n">
        <x:v>41.93</x:v>
      </x:c>
      <x:c r="R22" s="46" t="n">
        <x:v>53.47</x:v>
      </x:c>
      <x:c r="S22" s="46" t="n">
        <x:v>2.1616</x:v>
      </x:c>
      <x:c r="T22" s="52" t="str">
        <x:v>公司主营精密冲压模具及金属结构件，受益于汽车轻量化和新能源趋势，但近期财务表现承压，净利润亏损，经营现金流为负，需关注盈利改善。*</x:v>
      </x:c>
      <x:c r="U22" s="52" t="str">
        <x:v>财务表现承压且基本面推断置信度较低，需要人工复核。</x:v>
      </x:c>
      <x:c r="V22" s="40" t="str">
        <x:v>已生成</x:v>
      </x:c>
    </x:row>
    <x:row r="23">
      <x:c r="A23" s="40" t="n">
        <x:v>19</x:v>
      </x:c>
      <x:c r="B23" s="43" t="str">
        <x:v>300287</x:v>
      </x:c>
      <x:c r="C23" s="40" t="str">
        <x:v>飞利信</x:v>
      </x:c>
      <x:c r="D23" s="40" t="str">
        <x:v>模型筛选</x:v>
      </x:c>
      <x:c r="E23" s="40" t="n">
        <x:v>97</x:v>
      </x:c>
      <x:c r="F23" s="46" t="n">
        <x:v>55.7259</x:v>
      </x:c>
      <x:c r="G23" s="46" t="n">
        <x:v>53.5</x:v>
      </x:c>
      <x:c r="H23" s="46" t="str">
        <x:v>普通观察</x:v>
      </x:c>
      <x:c r="I23" s="46" t="n">
        <x:v>55.73</x:v>
      </x:c>
      <x:c r="J23" s="40" t="str">
        <x:v>仅复核</x:v>
      </x:c>
      <x:c r="K23" s="40" t="str">
        <x:v>软件服务</x:v>
      </x:c>
      <x:c r="L23" s="40" t="str">
        <x:v>信息技术服务*</x:v>
      </x:c>
      <x:c r="M23" s="40" t="str">
        <x:v>稳定</x:v>
      </x:c>
      <x:c r="N23" s="49" t="n">
        <x:v>0.004836</x:v>
      </x:c>
      <x:c r="O23" s="55" t="n">
        <x:v>1200</x:v>
      </x:c>
      <x:c r="P23" s="46" t="n">
        <x:v>4.03</x:v>
      </x:c>
      <x:c r="Q23" s="46" t="n">
        <x:v>3.76</x:v>
      </x:c>
      <x:c r="R23" s="46" t="n">
        <x:v>4.57</x:v>
      </x:c>
      <x:c r="S23" s="46" t="n">
        <x:v>2</x:v>
      </x:c>
      <x:c r="T23" s="52" t="str">
        <x:v>公司主营智能会议系统、电子政务、建筑智能化及IT产品销售，并拓展智慧城市、大数据、互联网教育领域，但近期财务表现不佳，营收和净利润下滑，处于亏损状态。*</x:v>
      </x:c>
      <x:c r="U23" s="52" t="str">
        <x:v>结果仅供人工复核。</x:v>
      </x:c>
      <x:c r="V23" s="40" t="str">
        <x:v>已生成</x:v>
      </x:c>
    </x:row>
    <x:row r="24">
      <x:c r="A24" s="40" t="n">
        <x:v>20</x:v>
      </x:c>
      <x:c r="B24" s="43" t="str">
        <x:v>300458</x:v>
      </x:c>
      <x:c r="C24" s="40" t="str">
        <x:v>全志科技</x:v>
      </x:c>
      <x:c r="D24" s="40" t="str">
        <x:v>模型筛选</x:v>
      </x:c>
      <x:c r="E24" s="40" t="n">
        <x:v>15</x:v>
      </x:c>
      <x:c r="F24" s="46" t="n">
        <x:v>60.7511</x:v>
      </x:c>
      <x:c r="G24" s="46" t="n">
        <x:v>54</x:v>
      </x:c>
      <x:c r="H24" s="46" t="str">
        <x:v>普通观察</x:v>
      </x:c>
      <x:c r="I24" s="46" t="n">
        <x:v>54</x:v>
      </x:c>
      <x:c r="J24" s="40" t="str">
        <x:v>仅复核</x:v>
      </x:c>
      <x:c r="K24" s="40" t="str">
        <x:v>半导体</x:v>
      </x:c>
      <x:c r="L24" s="40" t="str">
        <x:v>集成电路设计*</x:v>
      </x:c>
      <x:c r="M24" s="40" t="str">
        <x:v>稳定</x:v>
      </x:c>
      <x:c r="N24" s="49" t="n">
        <x:v>0.003562</x:v>
      </x:c>
      <x:c r="O24" s="55" t="n">
        <x:v>100</x:v>
      </x:c>
      <x:c r="P24" s="46" t="n">
        <x:v>35.62</x:v>
      </x:c>
      <x:c r="Q24" s="46" t="n">
        <x:v>32.8</x:v>
      </x:c>
      <x:c r="R24" s="46" t="n">
        <x:v>41.25</x:v>
      </x:c>
      <x:c r="S24" s="46" t="n">
        <x:v>1.9965</x:v>
      </x:c>
      <x:c r="T24" s="52" t="str">
        <x:v>仅依据输入主营、财务和量化摘要归纳。*</x:v>
      </x:c>
      <x:c r="U24" s="52" t="str">
        <x:v>结果仅供人工复核。</x:v>
      </x:c>
      <x:c r="V24" s="40" t="str">
        <x:v>已生成</x:v>
      </x:c>
    </x:row>
    <x:row r="25">
      <x:c r="A25" s="40" t="n">
        <x:v>21</x:v>
      </x:c>
      <x:c r="B25" s="43" t="str">
        <x:v>300145</x:v>
      </x:c>
      <x:c r="C25" s="40" t="str">
        <x:v>南方泵业</x:v>
      </x:c>
      <x:c r="D25" s="40" t="str">
        <x:v>人工关注</x:v>
      </x:c>
      <x:c r="E25" s="40" t="n">
        <x:v>186</x:v>
      </x:c>
      <x:c r="F25" s="46" t="n">
        <x:v>53.3097</x:v>
      </x:c>
      <x:c r="G25" s="46" t="n">
        <x:v>50</x:v>
      </x:c>
      <x:c r="H25" s="46" t="str">
        <x:v>普通观察</x:v>
      </x:c>
      <x:c r="I25" s="46" t="n">
        <x:v>53.31</x:v>
      </x:c>
      <x:c r="J25" s="40" t="str">
        <x:v>仅复核</x:v>
      </x:c>
      <x:c r="K25" s="40" t="str">
        <x:v>机械基件</x:v>
      </x:c>
      <x:c r="L25" s="40" t="str">
        <x:v>流体设备与环保服务*</x:v>
      </x:c>
      <x:c r="M25" s="40" t="str">
        <x:v>稳定</x:v>
      </x:c>
      <x:c r="N25" s="49" t="n">
        <x:v>0.003773</x:v>
      </x:c>
      <x:c r="O25" s="55" t="n">
        <x:v>700</x:v>
      </x:c>
      <x:c r="P25" s="46" t="n">
        <x:v>5.39</x:v>
      </x:c>
      <x:c r="Q25" s="46" t="n">
        <x:v>4.96</x:v>
      </x:c>
      <x:c r="R25" s="46" t="n">
        <x:v>6.31</x:v>
      </x:c>
      <x:c r="S25" s="46" t="n">
        <x:v>2.1395</x:v>
      </x:c>
      <x:c r="T25" s="52" t="str">
        <x:v>公司主营通用设备制造、污水及污泥处理、环保咨询与设计，受益于节能环保和绿色方案趋势，财务表现稳定但经营现金流为负，需关注现金流改善。*</x:v>
      </x:c>
      <x:c r="U25" s="52" t="str">
        <x:v>结果仅供人工复核。</x:v>
      </x:c>
      <x:c r="V25" s="40" t="str">
        <x:v>已生成</x:v>
      </x:c>
    </x:row>
    <x:row r="26">
      <x:c r="A26" s="40" t="n">
        <x:v>22</x:v>
      </x:c>
      <x:c r="B26" s="43" t="str">
        <x:v>300821</x:v>
      </x:c>
      <x:c r="C26" s="40" t="str">
        <x:v>东岳硅材</x:v>
      </x:c>
      <x:c r="D26" s="40" t="str">
        <x:v>人工关注</x:v>
      </x:c>
      <x:c r="E26" s="40" t="n">
        <x:v>236</x:v>
      </x:c>
      <x:c r="F26" s="46" t="n">
        <x:v>52.1774</x:v>
      </x:c>
      <x:c r="G26" s="46" t="n">
        <x:v>50</x:v>
      </x:c>
      <x:c r="H26" s="46" t="str">
        <x:v>普通观察</x:v>
      </x:c>
      <x:c r="I26" s="46" t="n">
        <x:v>52.18</x:v>
      </x:c>
      <x:c r="J26" s="40" t="str">
        <x:v>仅复核</x:v>
      </x:c>
      <x:c r="K26" s="40" t="str">
        <x:v>化工原料</x:v>
      </x:c>
      <x:c r="L26" s="40" t="str">
        <x:v>有机硅产业链*</x:v>
      </x:c>
      <x:c r="M26" s="40" t="str">
        <x:v>稳定</x:v>
      </x:c>
      <x:c r="N26" s="49" t="n">
        <x:v>0.00221</x:v>
      </x:c>
      <x:c r="O26" s="55" t="n">
        <x:v>100</x:v>
      </x:c>
      <x:c r="P26" s="46" t="n">
        <x:v>22.1</x:v>
      </x:c>
      <x:c r="Q26" s="46" t="n">
        <x:v>20.33</x:v>
      </x:c>
      <x:c r="R26" s="46" t="n">
        <x:v>27.8</x:v>
      </x:c>
      <x:c r="S26" s="46" t="n">
        <x:v>3.2203</x:v>
      </x:c>
      <x:c r="T26" s="52" t="str">
        <x:v>公司可能受益于有机硅产业链一体化布局和深加工产品占比提升，但需核验具体财务表现。*</x:v>
      </x:c>
      <x:c r="U26" s="52" t="str">
        <x:v>结果仅供人工复核。</x:v>
      </x:c>
      <x:c r="V26" s="40" t="str">
        <x:v>已生成</x:v>
      </x:c>
    </x:row>
    <x:row r="27">
      <x:c r="A27" s="40" t="n">
        <x:v>23</x:v>
      </x:c>
      <x:c r="B27" s="43" t="str">
        <x:v>002409</x:v>
      </x:c>
      <x:c r="C27" s="40" t="str">
        <x:v>雅克科技</x:v>
      </x:c>
      <x:c r="D27" s="40" t="str">
        <x:v>人工关注</x:v>
      </x:c>
      <x:c r="E27" s="40" t="n">
        <x:v>545</x:v>
      </x:c>
      <x:c r="F27" s="46" t="n">
        <x:v>47.4627</x:v>
      </x:c>
      <x:c r="G27" s="46" t="n">
        <x:v>50</x:v>
      </x:c>
      <x:c r="H27" s="46" t="str">
        <x:v>普通观察</x:v>
      </x:c>
      <x:c r="I27" s="46" t="n">
        <x:v>47.46</x:v>
      </x:c>
      <x:c r="J27" s="40" t="str">
        <x:v>低</x:v>
      </x:c>
      <x:c r="K27" s="40" t="str">
        <x:v>半导体</x:v>
      </x:c>
      <x:c r="L27" s="40" t="str">
        <x:v>化工新材料*</x:v>
      </x:c>
      <x:c r="M27" s="40" t="str">
        <x:v>稳定</x:v>
      </x:c>
      <x:c r="N27" s="49" t="n">
        <x:v>0</x:v>
      </x:c>
      <x:c r="O27" s="55" t="n">
        <x:v>0</x:v>
      </x:c>
      <x:c r="P27" s="46" t="n">
        <x:v>171.37</x:v>
      </x:c>
      <x:c r="Q27" s="46" t="n">
        <x:v>157.66</x:v>
      </x:c>
      <x:c r="R27" s="46" t="n">
        <x:v>209.8</x:v>
      </x:c>
      <x:c r="S27" s="46" t="n">
        <x:v>2.8031</x:v>
      </x:c>
      <x:c r="T27" s="52" t="str">
        <x:v>公司主营磷酸酯阻燃剂和橡塑助剂，同时涉足电子半导体材料和深冷复合材料，受益于新材料国产化趋势，但需关注经营现金流为负的风险。*</x:v>
      </x:c>
      <x:c r="U27" s="52" t="str">
        <x:v>结果仅供人工复核。</x:v>
      </x:c>
      <x:c r="V27" s="40" t="str">
        <x:v>已生成</x:v>
      </x:c>
    </x:row>
    <x:row r="28">
      <x:c r="A28" s="40" t="n">
        <x:v>24</x:v>
      </x:c>
      <x:c r="B28" s="43" t="str">
        <x:v>002457</x:v>
      </x:c>
      <x:c r="C28" s="40" t="str">
        <x:v>青龙管业</x:v>
      </x:c>
      <x:c r="D28" s="40" t="str">
        <x:v>模型筛选</x:v>
      </x:c>
      <x:c r="E28" s="40" t="n">
        <x:v>2</x:v>
      </x:c>
      <x:c r="F28" s="46" t="n">
        <x:v>62.6596</x:v>
      </x:c>
      <x:c r="G28" s="46" t="n">
        <x:v>50</x:v>
      </x:c>
      <x:c r="H28" s="46" t="str">
        <x:v>普通观察</x:v>
      </x:c>
      <x:c r="I28" s="46" t="n">
        <x:v>45</x:v>
      </x:c>
      <x:c r="J28" s="40" t="str">
        <x:v>仅复核</x:v>
      </x:c>
      <x:c r="K28" s="40" t="str">
        <x:v>塑料</x:v>
      </x:c>
      <x:c r="L28" s="40" t="str">
        <x:v>输节水管道制造*</x:v>
      </x:c>
      <x:c r="M28" s="40" t="str">
        <x:v>承压</x:v>
      </x:c>
      <x:c r="N28" s="49" t="n">
        <x:v>0.006604</x:v>
      </x:c>
      <x:c r="O28" s="55" t="n">
        <x:v>400</x:v>
      </x:c>
      <x:c r="P28" s="46" t="n">
        <x:v>16.51</x:v>
      </x:c>
      <x:c r="Q28" s="46" t="n">
        <x:v>15.52</x:v>
      </x:c>
      <x:c r="R28" s="46" t="n">
        <x:v>18.49</x:v>
      </x:c>
      <x:c r="S28" s="46" t="n">
        <x:v>2</x:v>
      </x:c>
      <x:c r="T28" s="52" t="str">
        <x:v>公司主营供水排水管道，受益于水利投资，但近期财务表现承压，营收下滑，净利润亏损，经营现金流为负。*</x:v>
      </x:c>
      <x:c r="U28" s="52" t="str">
        <x:v>结果仅供人工复核。</x:v>
      </x:c>
      <x:c r="V28" s="40" t="str">
        <x:v>已生成</x:v>
      </x:c>
    </x:row>
    <x:row r="29">
      <x:c r="A29" s="40" t="n">
        <x:v>25</x:v>
      </x:c>
      <x:c r="B29" s="43" t="str">
        <x:v>301151</x:v>
      </x:c>
      <x:c r="C29" s="40" t="str">
        <x:v>冠龙节能</x:v>
      </x:c>
      <x:c r="D29" s="40" t="str">
        <x:v>人工关注</x:v>
      </x:c>
      <x:c r="E29" s="40" t="n">
        <x:v>59</x:v>
      </x:c>
      <x:c r="F29" s="46" t="n">
        <x:v>57.7226</x:v>
      </x:c>
      <x:c r="G29" s="46" t="n">
        <x:v>50</x:v>
      </x:c>
      <x:c r="H29" s="46" t="str">
        <x:v>普通观察</x:v>
      </x:c>
      <x:c r="I29" s="46" t="n">
        <x:v>45</x:v>
      </x:c>
      <x:c r="J29" s="40" t="str">
        <x:v>仅复核</x:v>
      </x:c>
      <x:c r="K29" s="40" t="str">
        <x:v>机械基件</x:v>
      </x:c>
      <x:c r="L29" s="40" t="str">
        <x:v>阀门制造*</x:v>
      </x:c>
      <x:c r="M29" s="40" t="str">
        <x:v>稳定</x:v>
      </x:c>
      <x:c r="N29" s="49" t="n">
        <x:v>0.004718</x:v>
      </x:c>
      <x:c r="O29" s="55" t="n">
        <x:v>200</x:v>
      </x:c>
      <x:c r="P29" s="46" t="n">
        <x:v>23.59</x:v>
      </x:c>
      <x:c r="Q29" s="46" t="n">
        <x:v>21.86</x:v>
      </x:c>
      <x:c r="R29" s="46" t="n">
        <x:v>27.05</x:v>
      </x:c>
      <x:c r="S29" s="46" t="n">
        <x:v>2</x:v>
      </x:c>
      <x:c r="T29" s="52" t="str">
        <x:v>公司主营节水阀门，但近期财务数据显示营收下滑、净利润亏损，需关注盈利能力恢复。*</x:v>
      </x:c>
      <x:c r="U29" s="52" t="str">
        <x:v>结果仅供人工复核。</x:v>
      </x:c>
      <x:c r="V29" s="40" t="str">
        <x:v>已生成</x:v>
      </x:c>
    </x:row>
    <x:row r="30">
      <x:c r="A30" s="40" t="n">
        <x:v>26</x:v>
      </x:c>
      <x:c r="B30" s="43" t="str">
        <x:v>603726</x:v>
      </x:c>
      <x:c r="C30" s="40" t="str">
        <x:v>朗迪集团</x:v>
      </x:c>
      <x:c r="D30" s="40" t="str">
        <x:v>人工关注</x:v>
      </x:c>
      <x:c r="E30" s="40" t="n">
        <x:v>821</x:v>
      </x:c>
      <x:c r="F30" s="46" t="n">
        <x:v>44.3452</x:v>
      </x:c>
      <x:c r="G30" s="46" t="str"/>
      <x:c r="H30" s="46" t="str">
        <x:v>普通观察</x:v>
      </x:c>
      <x:c r="I30" s="46" t="n">
        <x:v>44.35</x:v>
      </x:c>
      <x:c r="J30" s="40" t="str">
        <x:v>低</x:v>
      </x:c>
      <x:c r="K30" s="40" t="str">
        <x:v>家用电器</x:v>
      </x:c>
      <x:c r="L30" s="40" t="str">
        <x:v>信息不足*</x:v>
      </x:c>
      <x:c r="M30" s="40" t="str">
        <x:v>稳定</x:v>
      </x:c>
      <x:c r="N30" s="49" t="n">
        <x:v>0</x:v>
      </x:c>
      <x:c r="O30" s="55" t="n">
        <x:v>0</x:v>
      </x:c>
      <x:c r="P30" s="46" t="str"/>
      <x:c r="Q30" s="46" t="str"/>
      <x:c r="R30" s="46" t="str"/>
      <x:c r="S30" s="46" t="str"/>
      <x:c r="T30" s="52" t="str">
        <x:v>分析失败</x:v>
      </x:c>
      <x:c r="U30" s="52" t="str">
        <x:v>结果仅供人工复核。</x:v>
      </x:c>
      <x:c r="V30" s="40" t="str">
        <x:v>已阻断</x:v>
      </x:c>
    </x:row>
    <x:row r="31">
      <x:c r="A31" s="41" t="n">
        <x:v>27</x:v>
      </x:c>
      <x:c r="B31" s="44" t="str">
        <x:v>301356</x:v>
      </x:c>
      <x:c r="C31" s="41" t="str">
        <x:v>天振股份</x:v>
      </x:c>
      <x:c r="D31" s="41" t="str">
        <x:v>人工关注</x:v>
      </x:c>
      <x:c r="E31" s="41" t="n">
        <x:v>4088</x:v>
      </x:c>
      <x:c r="F31" s="47" t="n">
        <x:v>25.5465</x:v>
      </x:c>
      <x:c r="G31" s="47" t="n">
        <x:v>50</x:v>
      </x:c>
      <x:c r="H31" s="47" t="str">
        <x:v>普通观察</x:v>
      </x:c>
      <x:c r="I31" s="47" t="n">
        <x:v>25.55</x:v>
      </x:c>
      <x:c r="J31" s="41" t="str">
        <x:v>低</x:v>
      </x:c>
      <x:c r="K31" s="41" t="str">
        <x:v>家居用品</x:v>
      </x:c>
      <x:c r="L31" s="41" t="str">
        <x:v>地面装饰材料*</x:v>
      </x:c>
      <x:c r="M31" s="41" t="str">
        <x:v>稳定</x:v>
      </x:c>
      <x:c r="N31" s="50" t="n">
        <x:v>0</x:v>
      </x:c>
      <x:c r="O31" s="56" t="n">
        <x:v>0</x:v>
      </x:c>
      <x:c r="P31" s="47" t="n">
        <x:v>23.04</x:v>
      </x:c>
      <x:c r="Q31" s="47" t="n">
        <x:v>21.2</x:v>
      </x:c>
      <x:c r="R31" s="47" t="n">
        <x:v>27.46</x:v>
      </x:c>
      <x:c r="S31" s="47" t="n">
        <x:v>2.4022</x:v>
      </x:c>
      <x:c r="T31" s="53" t="str">
        <x:v>公司主营新型聚氯乙烯复合材料地板，受益于绿色环保趋势，但收入下滑，需关注后续增长。*</x:v>
      </x:c>
      <x:c r="U31" s="53" t="str">
        <x:v>结果仅供人工复核。</x:v>
      </x:c>
      <x:c r="V31" s="41" t="str">
        <x:v>已生成</x:v>
      </x:c>
    </x:row>
  </x:sheetData>
  <x:mergeCells>
    <x:mergeCell ref="A1:V2"/>
    <x:mergeCell ref="A3:V3"/>
  </x:mergeCells>
  <x:conditionalFormatting sqref="G5:G31">
    <x:cfRule type="colorScale" priority="1">
      <x:colorScale>
        <x:cfvo type="min"/>
        <x:cfvo type="percentile" val="50"/>
        <x:cfvo type="max"/>
        <x:color rgb="FFF4CCCC"/>
        <x:color rgb="FFFFF2CC"/>
        <x:color rgb="FFC6E0B4"/>
      </x:colorScale>
    </x:cfRule>
  </x:conditionalFormatting>
  <x:conditionalFormatting sqref="I5:I31">
    <x:cfRule type="colorScale" priority="2">
      <x:colorScale>
        <x:cfvo type="min"/>
        <x:cfvo type="percentile" val="50"/>
        <x:cfvo type="max"/>
        <x:color rgb="FFF4CCCC"/>
        <x:color rgb="FFFFF2CC"/>
        <x:color rgb="FFC6E0B4"/>
      </x:colorScale>
    </x:cfRule>
  </x:conditionalFormatting>
  <x:conditionalFormatting sqref="H5:H31">
    <x:cfRule type="containsText" dxfId="2" priority="3" operator="containsText" text="优先复核"/>
  </x:conditionalFormatting>
  <x:conditionalFormatting sqref="V5:V31">
    <x:cfRule type="containsText" dxfId="3" priority="4" operator="containsText" text="已阻断"/>
  </x:conditionalFormatting>
  <x:pageMargins left="0.7" right="0.7" top="0.75" bottom="0.75" header="0.3" footer="0.3"/>
  <x:tableParts count="1">
    <x:tablePart xmlns:r="http://schemas.openxmlformats.org/officeDocument/2006/relationships" r:id="Ra33bd6ac88e9433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1" hidden="0" customWidth="1"/>
    <x:col min="2" max="2" width="15" hidden="0" customWidth="1"/>
    <x:col min="3" max="3" width="15" hidden="0" customWidth="1"/>
    <x:col min="4" max="4" width="15"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 min="14" max="14" width="11" hidden="0" customWidth="1"/>
    <x:col min="15" max="15" width="11" hidden="0" customWidth="1"/>
    <x:col min="16" max="16" width="11" hidden="0" customWidth="1"/>
    <x:col min="17" max="17" width="11" hidden="0" customWidth="1"/>
    <x:col min="18" max="18" width="11" hidden="0" customWidth="1"/>
    <x:col min="19" max="19" width="11" hidden="0" customWidth="1"/>
    <x:col min="20" max="20" width="11" hidden="0" customWidth="1"/>
    <x:col min="21" max="21" width="11" hidden="0" customWidth="1"/>
    <x:col min="22" max="22" width="11" hidden="0" customWidth="1"/>
    <x:col min="23" max="23" width="11" hidden="0" customWidth="1"/>
    <x:col min="24" max="24" width="42" hidden="0" customWidth="1"/>
  </x:cols>
  <x:sheetData>
    <x:row r="1" ht="28" customHeight="1">
      <x:c r="A1" s="3" t="str">
        <x:v>挂单与仓位</x:v>
      </x:c>
    </x:row>
    <x:row r="3" ht="22" customHeight="1">
      <x:c r="A3" s="5" t="str">
        <x:v>价格与仓位均由本地规则计算；按深度复核排名排列。</x:v>
      </x:c>
    </x:row>
    <x:row r="4" ht="32" customHeight="1">
      <x:c r="A4" s="34" t="str">
        <x:v>复核排名</x:v>
      </x:c>
      <x:c r="B4" s="34" t="str">
        <x:v>股票代码</x:v>
      </x:c>
      <x:c r="C4" s="34" t="str">
        <x:v>股票名称</x:v>
      </x:c>
      <x:c r="D4" s="34" t="str">
        <x:v>入选来源</x:v>
      </x:c>
      <x:c r="E4" s="34" t="str">
        <x:v>量化得分</x:v>
      </x:c>
      <x:c r="F4" s="34" t="str">
        <x:v>二筛得分</x:v>
      </x:c>
      <x:c r="G4" s="34" t="str">
        <x:v>二筛结论</x:v>
      </x:c>
      <x:c r="H4" s="34" t="str">
        <x:v>深度复核分</x:v>
      </x:c>
      <x:c r="I4" s="34" t="str">
        <x:v>保守价</x:v>
      </x:c>
      <x:c r="J4" s="34" t="str">
        <x:v>均衡价</x:v>
      </x:c>
      <x:c r="K4" s="34" t="str">
        <x:v>积极价</x:v>
      </x:c>
      <x:c r="L4" s="34" t="str">
        <x:v>参考价</x:v>
      </x:c>
      <x:c r="M4" s="34" t="str">
        <x:v>最高接受价</x:v>
      </x:c>
      <x:c r="N4" s="34" t="str">
        <x:v>止损价</x:v>
      </x:c>
      <x:c r="O4" s="34" t="str">
        <x:v>第一目标价</x:v>
      </x:c>
      <x:c r="P4" s="34" t="str">
        <x:v>第二目标价</x:v>
      </x:c>
      <x:c r="Q4" s="34" t="str">
        <x:v>第一目标收益比</x:v>
      </x:c>
      <x:c r="R4" s="34" t="str">
        <x:v>第二目标收益比</x:v>
      </x:c>
      <x:c r="S4" s="34" t="str">
        <x:v>当前收益比</x:v>
      </x:c>
      <x:c r="T4" s="34" t="str">
        <x:v>建议仓位</x:v>
      </x:c>
      <x:c r="U4" s="34" t="str">
        <x:v>建议资金</x:v>
      </x:c>
      <x:c r="V4" s="34" t="str">
        <x:v>建议股数</x:v>
      </x:c>
      <x:c r="W4" s="34" t="str">
        <x:v>预计最大损失</x:v>
      </x:c>
      <x:c r="X4" s="34" t="str">
        <x:v>说明</x:v>
      </x:c>
    </x:row>
    <x:row r="5">
      <x:c r="A5" s="39" t="n">
        <x:v>1</x:v>
      </x:c>
      <x:c r="B5" s="42" t="str">
        <x:v>688981</x:v>
      </x:c>
      <x:c r="C5" s="39" t="str">
        <x:v>中芯国际</x:v>
      </x:c>
      <x:c r="D5" s="39" t="str">
        <x:v>模型筛选</x:v>
      </x:c>
      <x:c r="E5" s="45" t="n">
        <x:v>59.4071</x:v>
      </x:c>
      <x:c r="F5" s="45" t="n">
        <x:v>65.5</x:v>
      </x:c>
      <x:c r="G5" s="45" t="str">
        <x:v>继续观察</x:v>
      </x:c>
      <x:c r="H5" s="45" t="n">
        <x:v>65.5</x:v>
      </x:c>
      <x:c r="I5" s="45" t="n">
        <x:v>124.98</x:v>
      </x:c>
      <x:c r="J5" s="45" t="n">
        <x:v>145.94</x:v>
      </x:c>
      <x:c r="K5" s="45" t="n">
        <x:v>176.35</x:v>
      </x:c>
      <x:c r="L5" s="45" t="n">
        <x:v>145.94</x:v>
      </x:c>
      <x:c r="M5" s="45" t="n">
        <x:v>171.17</x:v>
      </x:c>
      <x:c r="N5" s="45" t="n">
        <x:v>134.26</x:v>
      </x:c>
      <x:c r="O5" s="45" t="n">
        <x:v>158.15</x:v>
      </x:c>
      <x:c r="P5" s="45" t="n">
        <x:v>170.36</x:v>
      </x:c>
      <x:c r="Q5" s="45" t="n">
        <x:v>1.0454</x:v>
      </x:c>
      <x:c r="R5" s="45" t="n">
        <x:v>2.0908</x:v>
      </x:c>
      <x:c r="S5" s="45" t="n">
        <x:v>2.0908</x:v>
      </x:c>
      <x:c r="T5" s="48" t="n">
        <x:v>0</x:v>
      </x:c>
      <x:c r="U5" s="57" t="n">
        <x:v>0</x:v>
      </x:c>
      <x:c r="V5" s="54" t="n">
        <x:v>0</x:v>
      </x:c>
      <x:c r="W5" s="57" t="n">
        <x:v>0</x:v>
      </x:c>
      <x:c r="X5" s="51" t="str">
        <x:v>未核验信息已按规则降权；目标日涨跌停价为规则估算；建议金额不足一手；基本面信息含未核验推断</x:v>
      </x:c>
    </x:row>
    <x:row r="6">
      <x:c r="A6" s="40" t="n">
        <x:v>2</x:v>
      </x:c>
      <x:c r="B6" s="43" t="str">
        <x:v>603893</x:v>
      </x:c>
      <x:c r="C6" s="40" t="str">
        <x:v>瑞芯微</x:v>
      </x:c>
      <x:c r="D6" s="40" t="str">
        <x:v>模型筛选</x:v>
      </x:c>
      <x:c r="E6" s="46" t="n">
        <x:v>63.0011</x:v>
      </x:c>
      <x:c r="F6" s="46" t="n">
        <x:v>77</x:v>
      </x:c>
      <x:c r="G6" s="46" t="str">
        <x:v>优先复核</x:v>
      </x:c>
      <x:c r="H6" s="46" t="n">
        <x:v>63</x:v>
      </x:c>
      <x:c r="I6" s="46" t="n">
        <x:v>160.64</x:v>
      </x:c>
      <x:c r="J6" s="46" t="n">
        <x:v>186.85</x:v>
      </x:c>
      <x:c r="K6" s="46" t="n">
        <x:v>227.01</x:v>
      </x:c>
      <x:c r="L6" s="46" t="n">
        <x:v>186.85</x:v>
      </x:c>
      <x:c r="M6" s="46" t="n">
        <x:v>219.1</x:v>
      </x:c>
      <x:c r="N6" s="46" t="n">
        <x:v>173.96</x:v>
      </x:c>
      <x:c r="O6" s="46" t="n">
        <x:v>199.74</x:v>
      </x:c>
      <x:c r="P6" s="46" t="n">
        <x:v>212.62</x:v>
      </x:c>
      <x:c r="Q6" s="46" t="n">
        <x:v>1</x:v>
      </x:c>
      <x:c r="R6" s="46" t="n">
        <x:v>1.9992</x:v>
      </x:c>
      <x:c r="S6" s="46" t="n">
        <x:v>1.9992</x:v>
      </x:c>
      <x:c r="T6" s="49" t="n">
        <x:v>0</x:v>
      </x:c>
      <x:c r="U6" s="58" t="n">
        <x:v>0</x:v>
      </x:c>
      <x:c r="V6" s="55" t="n">
        <x:v>0</x:v>
      </x:c>
      <x:c r="W6" s="58" t="n">
        <x:v>0</x:v>
      </x:c>
      <x:c r="X6" s="52" t="str">
        <x:v>未核验信息已按规则降权；目标日涨跌停价为规则估算；建议金额不足一手；基本面信息含未核验推断</x:v>
      </x:c>
    </x:row>
    <x:row r="7">
      <x:c r="A7" s="40" t="n">
        <x:v>3</x:v>
      </x:c>
      <x:c r="B7" s="43" t="str">
        <x:v>300474</x:v>
      </x:c>
      <x:c r="C7" s="40" t="str">
        <x:v>景嘉微</x:v>
      </x:c>
      <x:c r="D7" s="40" t="str">
        <x:v>模型筛选</x:v>
      </x:c>
      <x:c r="E7" s="46" t="n">
        <x:v>62.4956</x:v>
      </x:c>
      <x:c r="F7" s="46" t="n">
        <x:v>50</x:v>
      </x:c>
      <x:c r="G7" s="46" t="str">
        <x:v>普通观察</x:v>
      </x:c>
      <x:c r="H7" s="46" t="n">
        <x:v>62.5</x:v>
      </x:c>
      <x:c r="I7" s="46" t="n">
        <x:v>50.88</x:v>
      </x:c>
      <x:c r="J7" s="46" t="n">
        <x:v>56.97</x:v>
      </x:c>
      <x:c r="K7" s="46" t="n">
        <x:v>65.49</x:v>
      </x:c>
      <x:c r="L7" s="46" t="n">
        <x:v>65.49</x:v>
      </x:c>
      <x:c r="M7" s="46" t="n">
        <x:v>66.57</x:v>
      </x:c>
      <x:c r="N7" s="46" t="n">
        <x:v>61.81</x:v>
      </x:c>
      <x:c r="O7" s="46" t="n">
        <x:v>69.17</x:v>
      </x:c>
      <x:c r="P7" s="46" t="n">
        <x:v>72.86</x:v>
      </x:c>
      <x:c r="Q7" s="46" t="n">
        <x:v>1</x:v>
      </x:c>
      <x:c r="R7" s="46" t="n">
        <x:v>2.0027</x:v>
      </x:c>
      <x:c r="S7" s="46" t="n">
        <x:v>2.0027</x:v>
      </x:c>
      <x:c r="T7" s="49" t="n">
        <x:v>0.006549</x:v>
      </x:c>
      <x:c r="U7" s="58" t="n">
        <x:v>6549</x:v>
      </x:c>
      <x:c r="V7" s="55" t="n">
        <x:v>100</x:v>
      </x:c>
      <x:c r="W7" s="58" t="n">
        <x:v>368</x:v>
      </x:c>
      <x:c r="X7" s="52" t="str">
        <x:v>未核验信息已按规则降权；目标日涨跌停价为规则估算；基本面信息含未核验推断</x:v>
      </x:c>
    </x:row>
    <x:row r="8">
      <x:c r="A8" s="40" t="n">
        <x:v>4</x:v>
      </x:c>
      <x:c r="B8" s="43" t="str">
        <x:v>002558</x:v>
      </x:c>
      <x:c r="C8" s="40" t="str">
        <x:v>巨人网络</x:v>
      </x:c>
      <x:c r="D8" s="40" t="str">
        <x:v>模型筛选</x:v>
      </x:c>
      <x:c r="E8" s="46" t="n">
        <x:v>62.0724</x:v>
      </x:c>
      <x:c r="F8" s="46" t="n">
        <x:v>56</x:v>
      </x:c>
      <x:c r="G8" s="46" t="str">
        <x:v>继续观察</x:v>
      </x:c>
      <x:c r="H8" s="46" t="n">
        <x:v>62.07</x:v>
      </x:c>
      <x:c r="I8" s="46" t="n">
        <x:v>23.54</x:v>
      </x:c>
      <x:c r="J8" s="46" t="n">
        <x:v>26.3</x:v>
      </x:c>
      <x:c r="K8" s="46" t="n">
        <x:v>30.19</x:v>
      </x:c>
      <x:c r="L8" s="46" t="n">
        <x:v>30.19</x:v>
      </x:c>
      <x:c r="M8" s="46" t="n">
        <x:v>31.03</x:v>
      </x:c>
      <x:c r="N8" s="46" t="n">
        <x:v>28.17</x:v>
      </x:c>
      <x:c r="O8" s="46" t="n">
        <x:v>32.21</x:v>
      </x:c>
      <x:c r="P8" s="46" t="n">
        <x:v>34.23</x:v>
      </x:c>
      <x:c r="Q8" s="46" t="n">
        <x:v>1</x:v>
      </x:c>
      <x:c r="R8" s="46" t="n">
        <x:v>2</x:v>
      </x:c>
      <x:c r="S8" s="46" t="n">
        <x:v>2</x:v>
      </x:c>
      <x:c r="T8" s="49" t="n">
        <x:v>0.006038</x:v>
      </x:c>
      <x:c r="U8" s="58" t="n">
        <x:v>6038</x:v>
      </x:c>
      <x:c r="V8" s="55" t="n">
        <x:v>200</x:v>
      </x:c>
      <x:c r="W8" s="58" t="n">
        <x:v>404</x:v>
      </x:c>
      <x:c r="X8" s="52" t="str">
        <x:v>未核验信息已按规则降权；目标日涨跌停价为规则估算；基本面信息含未核验推断</x:v>
      </x:c>
    </x:row>
    <x:row r="9">
      <x:c r="A9" s="40" t="n">
        <x:v>5</x:v>
      </x:c>
      <x:c r="B9" s="43" t="str">
        <x:v>000977</x:v>
      </x:c>
      <x:c r="C9" s="40" t="str">
        <x:v>浪潮信息</x:v>
      </x:c>
      <x:c r="D9" s="40" t="str">
        <x:v>模型筛选</x:v>
      </x:c>
      <x:c r="E9" s="46" t="n">
        <x:v>61.805</x:v>
      </x:c>
      <x:c r="F9" s="46" t="n">
        <x:v>50</x:v>
      </x:c>
      <x:c r="G9" s="46" t="str">
        <x:v>普通观察</x:v>
      </x:c>
      <x:c r="H9" s="46" t="n">
        <x:v>61.8</x:v>
      </x:c>
      <x:c r="I9" s="46" t="n">
        <x:v>58</x:v>
      </x:c>
      <x:c r="J9" s="46" t="n">
        <x:v>74.3</x:v>
      </x:c>
      <x:c r="K9" s="46" t="n">
        <x:v>94.39</x:v>
      </x:c>
      <x:c r="L9" s="46" t="n">
        <x:v>74.3</x:v>
      </x:c>
      <x:c r="M9" s="46" t="n">
        <x:v>93.85</x:v>
      </x:c>
      <x:c r="N9" s="46" t="n">
        <x:v>68.88</x:v>
      </x:c>
      <x:c r="O9" s="46" t="n">
        <x:v>79.72</x:v>
      </x:c>
      <x:c r="P9" s="46" t="n">
        <x:v>85.13</x:v>
      </x:c>
      <x:c r="Q9" s="46" t="n">
        <x:v>1</x:v>
      </x:c>
      <x:c r="R9" s="46" t="n">
        <x:v>1.9982</x:v>
      </x:c>
      <x:c r="S9" s="46" t="n">
        <x:v>1.9982</x:v>
      </x:c>
      <x:c r="T9" s="49" t="n">
        <x:v>0</x:v>
      </x:c>
      <x:c r="U9" s="58" t="n">
        <x:v>0</x:v>
      </x:c>
      <x:c r="V9" s="55" t="n">
        <x:v>0</x:v>
      </x:c>
      <x:c r="W9" s="58" t="n">
        <x:v>0</x:v>
      </x:c>
      <x:c r="X9" s="52" t="str">
        <x:v>未核验信息已按规则降权；目标日涨跌停价为规则估算；建议金额不足一手；基本面信息含未核验推断</x:v>
      </x:c>
    </x:row>
    <x:row r="10">
      <x:c r="A10" s="40" t="n">
        <x:v>6</x:v>
      </x:c>
      <x:c r="B10" s="43" t="str">
        <x:v>688135</x:v>
      </x:c>
      <x:c r="C10" s="40" t="str">
        <x:v>利扬芯片</x:v>
      </x:c>
      <x:c r="D10" s="40" t="str">
        <x:v>模型筛选</x:v>
      </x:c>
      <x:c r="E10" s="46" t="n">
        <x:v>61.7652</x:v>
      </x:c>
      <x:c r="F10" s="46" t="n">
        <x:v>50</x:v>
      </x:c>
      <x:c r="G10" s="46" t="str">
        <x:v>普通观察</x:v>
      </x:c>
      <x:c r="H10" s="46" t="n">
        <x:v>61.77</x:v>
      </x:c>
      <x:c r="I10" s="46" t="n">
        <x:v>34.01</x:v>
      </x:c>
      <x:c r="J10" s="46" t="n">
        <x:v>38.99</x:v>
      </x:c>
      <x:c r="K10" s="46" t="n">
        <x:v>48.57</x:v>
      </x:c>
      <x:c r="L10" s="46" t="n">
        <x:v>38.99</x:v>
      </x:c>
      <x:c r="M10" s="46" t="n">
        <x:v>44.65</x:v>
      </x:c>
      <x:c r="N10" s="46" t="n">
        <x:v>35.87</x:v>
      </x:c>
      <x:c r="O10" s="46" t="n">
        <x:v>42.38</x:v>
      </x:c>
      <x:c r="P10" s="46" t="n">
        <x:v>45.77</x:v>
      </x:c>
      <x:c r="Q10" s="46" t="n">
        <x:v>1.0865</x:v>
      </x:c>
      <x:c r="R10" s="46" t="n">
        <x:v>2.1731</x:v>
      </x:c>
      <x:c r="S10" s="46" t="n">
        <x:v>2.1731</x:v>
      </x:c>
      <x:c r="T10" s="49" t="n">
        <x:v>0.003899</x:v>
      </x:c>
      <x:c r="U10" s="58" t="n">
        <x:v>3899</x:v>
      </x:c>
      <x:c r="V10" s="55" t="n">
        <x:v>100</x:v>
      </x:c>
      <x:c r="W10" s="58" t="n">
        <x:v>312</x:v>
      </x:c>
      <x:c r="X10" s="52" t="str">
        <x:v>未核验信息已按规则降权；目标日涨跌停价为规则估算；基本面信息含未核验推断</x:v>
      </x:c>
    </x:row>
    <x:row r="11">
      <x:c r="A11" s="40" t="n">
        <x:v>7</x:v>
      </x:c>
      <x:c r="B11" s="43" t="str">
        <x:v>002605</x:v>
      </x:c>
      <x:c r="C11" s="40" t="str">
        <x:v>姚记科技</x:v>
      </x:c>
      <x:c r="D11" s="40" t="str">
        <x:v>模型筛选</x:v>
      </x:c>
      <x:c r="E11" s="46" t="n">
        <x:v>61.7576</x:v>
      </x:c>
      <x:c r="F11" s="46" t="n">
        <x:v>50</x:v>
      </x:c>
      <x:c r="G11" s="46" t="str">
        <x:v>普通观察</x:v>
      </x:c>
      <x:c r="H11" s="46" t="n">
        <x:v>61.76</x:v>
      </x:c>
      <x:c r="I11" s="46" t="n">
        <x:v>17.6</x:v>
      </x:c>
      <x:c r="J11" s="46" t="n">
        <x:v>18.85</x:v>
      </x:c>
      <x:c r="K11" s="46" t="n">
        <x:v>20.56</x:v>
      </x:c>
      <x:c r="L11" s="46" t="n">
        <x:v>20.56</x:v>
      </x:c>
      <x:c r="M11" s="46" t="n">
        <x:v>21.09</x:v>
      </x:c>
      <x:c r="N11" s="46" t="n">
        <x:v>19.71</x:v>
      </x:c>
      <x:c r="O11" s="46" t="n">
        <x:v>21.41</x:v>
      </x:c>
      <x:c r="P11" s="46" t="n">
        <x:v>22.26</x:v>
      </x:c>
      <x:c r="Q11" s="46" t="n">
        <x:v>1</x:v>
      </x:c>
      <x:c r="R11" s="46" t="n">
        <x:v>2</x:v>
      </x:c>
      <x:c r="S11" s="46" t="n">
        <x:v>2</x:v>
      </x:c>
      <x:c r="T11" s="49" t="n">
        <x:v>0.008224</x:v>
      </x:c>
      <x:c r="U11" s="58" t="n">
        <x:v>8224</x:v>
      </x:c>
      <x:c r="V11" s="55" t="n">
        <x:v>400</x:v>
      </x:c>
      <x:c r="W11" s="58" t="n">
        <x:v>340</x:v>
      </x:c>
      <x:c r="X11" s="52" t="str">
        <x:v>未核验信息已按规则降权；目标日涨跌停价为规则估算；基本面信息含未核验推断</x:v>
      </x:c>
    </x:row>
    <x:row r="12">
      <x:c r="A12" s="40" t="n">
        <x:v>8</x:v>
      </x:c>
      <x:c r="B12" s="43" t="str">
        <x:v>301345</x:v>
      </x:c>
      <x:c r="C12" s="40" t="str">
        <x:v>涛涛车业</x:v>
      </x:c>
      <x:c r="D12" s="40" t="str">
        <x:v>模型筛选</x:v>
      </x:c>
      <x:c r="E12" s="46" t="n">
        <x:v>61.3397</x:v>
      </x:c>
      <x:c r="F12" s="46" t="n">
        <x:v>53.5</x:v>
      </x:c>
      <x:c r="G12" s="46" t="str">
        <x:v>普通观察</x:v>
      </x:c>
      <x:c r="H12" s="46" t="n">
        <x:v>61.34</x:v>
      </x:c>
      <x:c r="I12" s="46" t="n">
        <x:v>196.98</x:v>
      </x:c>
      <x:c r="J12" s="46" t="n">
        <x:v>228.78</x:v>
      </x:c>
      <x:c r="K12" s="46" t="n">
        <x:v>286.01</x:v>
      </x:c>
      <x:c r="L12" s="46" t="n">
        <x:v>228.78</x:v>
      </x:c>
      <x:c r="M12" s="46" t="n">
        <x:v>270.9</x:v>
      </x:c>
      <x:c r="N12" s="46" t="n">
        <x:v>212.55</x:v>
      </x:c>
      <x:c r="O12" s="46" t="n">
        <x:v>245.01</x:v>
      </x:c>
      <x:c r="P12" s="46" t="n">
        <x:v>261.24</x:v>
      </x:c>
      <x:c r="Q12" s="46" t="n">
        <x:v>1</x:v>
      </x:c>
      <x:c r="R12" s="46" t="n">
        <x:v>2</x:v>
      </x:c>
      <x:c r="S12" s="46" t="n">
        <x:v>2</x:v>
      </x:c>
      <x:c r="T12" s="49" t="n">
        <x:v>0</x:v>
      </x:c>
      <x:c r="U12" s="58" t="n">
        <x:v>0</x:v>
      </x:c>
      <x:c r="V12" s="55" t="n">
        <x:v>0</x:v>
      </x:c>
      <x:c r="W12" s="58" t="n">
        <x:v>0</x:v>
      </x:c>
      <x:c r="X12" s="52" t="str">
        <x:v>未核验信息已按规则降权；目标日涨跌停价为规则估算；建议金额不足一手；基本面信息含未核验推断</x:v>
      </x:c>
    </x:row>
    <x:row r="13">
      <x:c r="A13" s="40" t="n">
        <x:v>9</x:v>
      </x:c>
      <x:c r="B13" s="43" t="str">
        <x:v>603019</x:v>
      </x:c>
      <x:c r="C13" s="40" t="str">
        <x:v>中科曙光</x:v>
      </x:c>
      <x:c r="D13" s="40" t="str">
        <x:v>人工关注</x:v>
      </x:c>
      <x:c r="E13" s="46" t="n">
        <x:v>61.2617</x:v>
      </x:c>
      <x:c r="F13" s="46" t="n">
        <x:v>50</x:v>
      </x:c>
      <x:c r="G13" s="46" t="str">
        <x:v>普通观察</x:v>
      </x:c>
      <x:c r="H13" s="46" t="n">
        <x:v>61.26</x:v>
      </x:c>
      <x:c r="I13" s="46" t="n">
        <x:v>82.35</x:v>
      </x:c>
      <x:c r="J13" s="46" t="n">
        <x:v>95.17</x:v>
      </x:c>
      <x:c r="K13" s="46" t="n">
        <x:v>113.01</x:v>
      </x:c>
      <x:c r="L13" s="46" t="n">
        <x:v>95.17</x:v>
      </x:c>
      <x:c r="M13" s="46" t="n">
        <x:v>112.87</x:v>
      </x:c>
      <x:c r="N13" s="46" t="n">
        <x:v>88.26</x:v>
      </x:c>
      <x:c r="O13" s="46" t="n">
        <x:v>102.08</x:v>
      </x:c>
      <x:c r="P13" s="46" t="n">
        <x:v>109</x:v>
      </x:c>
      <x:c r="Q13" s="46" t="n">
        <x:v>1</x:v>
      </x:c>
      <x:c r="R13" s="46" t="n">
        <x:v>2.0014</x:v>
      </x:c>
      <x:c r="S13" s="46" t="n">
        <x:v>2.0014</x:v>
      </x:c>
      <x:c r="T13" s="49" t="n">
        <x:v>0</x:v>
      </x:c>
      <x:c r="U13" s="58" t="n">
        <x:v>0</x:v>
      </x:c>
      <x:c r="V13" s="55" t="n">
        <x:v>0</x:v>
      </x:c>
      <x:c r="W13" s="58" t="n">
        <x:v>0</x:v>
      </x:c>
      <x:c r="X13" s="52" t="str">
        <x:v>未核验信息已按规则降权；目标日涨跌停价为规则估算；人工关注股，未进入模型重点名单；建议金额不足一手；基本面信息含未核验推断</x:v>
      </x:c>
    </x:row>
    <x:row r="14">
      <x:c r="A14" s="40" t="n">
        <x:v>10</x:v>
      </x:c>
      <x:c r="B14" s="43" t="str">
        <x:v>002274</x:v>
      </x:c>
      <x:c r="C14" s="40" t="str">
        <x:v>华昌化工</x:v>
      </x:c>
      <x:c r="D14" s="40" t="str">
        <x:v>模型筛选</x:v>
      </x:c>
      <x:c r="E14" s="46" t="n">
        <x:v>60.676</x:v>
      </x:c>
      <x:c r="F14" s="46" t="n">
        <x:v>51.5</x:v>
      </x:c>
      <x:c r="G14" s="46" t="str">
        <x:v>普通观察</x:v>
      </x:c>
      <x:c r="H14" s="46" t="n">
        <x:v>60.68</x:v>
      </x:c>
      <x:c r="I14" s="46" t="n">
        <x:v>4.6</x:v>
      </x:c>
      <x:c r="J14" s="46" t="n">
        <x:v>5.11</x:v>
      </x:c>
      <x:c r="K14" s="46" t="n">
        <x:v>5.91</x:v>
      </x:c>
      <x:c r="L14" s="46" t="n">
        <x:v>5.91</x:v>
      </x:c>
      <x:c r="M14" s="46" t="n">
        <x:v>5.94</x:v>
      </x:c>
      <x:c r="N14" s="46" t="n">
        <x:v>5.68</x:v>
      </x:c>
      <x:c r="O14" s="46" t="n">
        <x:v>6.14</x:v>
      </x:c>
      <x:c r="P14" s="46" t="n">
        <x:v>6.38</x:v>
      </x:c>
      <x:c r="Q14" s="46" t="n">
        <x:v>1</x:v>
      </x:c>
      <x:c r="R14" s="46" t="n">
        <x:v>2.0435</x:v>
      </x:c>
      <x:c r="S14" s="46" t="n">
        <x:v>2.0435</x:v>
      </x:c>
      <x:c r="T14" s="49" t="n">
        <x:v>0.010047</x:v>
      </x:c>
      <x:c r="U14" s="58" t="n">
        <x:v>10047</x:v>
      </x:c>
      <x:c r="V14" s="55" t="n">
        <x:v>1700</x:v>
      </x:c>
      <x:c r="W14" s="58" t="n">
        <x:v>391</x:v>
      </x:c>
      <x:c r="X14" s="52" t="str">
        <x:v>未核验信息已按规则降权；目标日涨跌停价为规则估算；基本面信息含未核验推断</x:v>
      </x:c>
    </x:row>
    <x:row r="15">
      <x:c r="A15" s="40" t="n">
        <x:v>11</x:v>
      </x:c>
      <x:c r="B15" s="43" t="str">
        <x:v>300604</x:v>
      </x:c>
      <x:c r="C15" s="40" t="str">
        <x:v>长川科技</x:v>
      </x:c>
      <x:c r="D15" s="40" t="str">
        <x:v>模型筛选</x:v>
      </x:c>
      <x:c r="E15" s="46" t="n">
        <x:v>58.7417</x:v>
      </x:c>
      <x:c r="F15" s="46" t="n">
        <x:v>59</x:v>
      </x:c>
      <x:c r="G15" s="46" t="str">
        <x:v>继续观察</x:v>
      </x:c>
      <x:c r="H15" s="46" t="n">
        <x:v>58.74</x:v>
      </x:c>
      <x:c r="I15" s="46" t="n">
        <x:v>221.8</x:v>
      </x:c>
      <x:c r="J15" s="46" t="n">
        <x:v>293.81</x:v>
      </x:c>
      <x:c r="K15" s="46" t="n">
        <x:v>395.01</x:v>
      </x:c>
      <x:c r="L15" s="46" t="n">
        <x:v>293.81</x:v>
      </x:c>
      <x:c r="M15" s="46" t="n">
        <x:v>369.92</x:v>
      </x:c>
      <x:c r="N15" s="46" t="n">
        <x:v>270.31</x:v>
      </x:c>
      <x:c r="O15" s="46" t="n">
        <x:v>326.15</x:v>
      </x:c>
      <x:c r="P15" s="46" t="n">
        <x:v>358.49</x:v>
      </x:c>
      <x:c r="Q15" s="46" t="n">
        <x:v>1.3762</x:v>
      </x:c>
      <x:c r="R15" s="46" t="n">
        <x:v>2.7523</x:v>
      </x:c>
      <x:c r="S15" s="46" t="n">
        <x:v>2.7523</x:v>
      </x:c>
      <x:c r="T15" s="49" t="n">
        <x:v>0</x:v>
      </x:c>
      <x:c r="U15" s="58" t="n">
        <x:v>0</x:v>
      </x:c>
      <x:c r="V15" s="55" t="n">
        <x:v>0</x:v>
      </x:c>
      <x:c r="W15" s="58" t="n">
        <x:v>0</x:v>
      </x:c>
      <x:c r="X15" s="52" t="str">
        <x:v>未核验信息已按规则降权；目标日涨跌停价为规则估算；建议金额不足一手；基本面信息含未核验推断</x:v>
      </x:c>
    </x:row>
    <x:row r="16">
      <x:c r="A16" s="40" t="n">
        <x:v>12</x:v>
      </x:c>
      <x:c r="B16" s="43" t="str">
        <x:v>688343</x:v>
      </x:c>
      <x:c r="C16" s="40" t="str">
        <x:v>云天励飞</x:v>
      </x:c>
      <x:c r="D16" s="40" t="str">
        <x:v>模型筛选</x:v>
      </x:c>
      <x:c r="E16" s="46" t="n">
        <x:v>57.7289</x:v>
      </x:c>
      <x:c r="F16" s="46" t="n">
        <x:v>59.5</x:v>
      </x:c>
      <x:c r="G16" s="46" t="str">
        <x:v>继续观察</x:v>
      </x:c>
      <x:c r="H16" s="46" t="n">
        <x:v>57.7</x:v>
      </x:c>
      <x:c r="I16" s="46" t="n">
        <x:v>61.32</x:v>
      </x:c>
      <x:c r="J16" s="46" t="n">
        <x:v>74.53</x:v>
      </x:c>
      <x:c r="K16" s="46" t="n">
        <x:v>92.58</x:v>
      </x:c>
      <x:c r="L16" s="46" t="n">
        <x:v>74.53</x:v>
      </x:c>
      <x:c r="M16" s="46" t="n">
        <x:v>91.48</x:v>
      </x:c>
      <x:c r="N16" s="46" t="n">
        <x:v>68.57</x:v>
      </x:c>
      <x:c r="O16" s="46" t="n">
        <x:v>81.02</x:v>
      </x:c>
      <x:c r="P16" s="46" t="n">
        <x:v>87.51</x:v>
      </x:c>
      <x:c r="Q16" s="46" t="n">
        <x:v>1.0889</x:v>
      </x:c>
      <x:c r="R16" s="46" t="n">
        <x:v>2.1779</x:v>
      </x:c>
      <x:c r="S16" s="46" t="n">
        <x:v>2.1779</x:v>
      </x:c>
      <x:c r="T16" s="49" t="n">
        <x:v>0</x:v>
      </x:c>
      <x:c r="U16" s="58" t="n">
        <x:v>0</x:v>
      </x:c>
      <x:c r="V16" s="55" t="n">
        <x:v>0</x:v>
      </x:c>
      <x:c r="W16" s="58" t="n">
        <x:v>0</x:v>
      </x:c>
      <x:c r="X16" s="52" t="str">
        <x:v>未核验信息已按规则降权；目标日涨跌停价为规则估算；建议金额不足一手；基本面信息含未核验推断</x:v>
      </x:c>
    </x:row>
    <x:row r="17">
      <x:c r="A17" s="40" t="n">
        <x:v>13</x:v>
      </x:c>
      <x:c r="B17" s="43" t="str">
        <x:v>301379</x:v>
      </x:c>
      <x:c r="C17" s="40" t="str">
        <x:v>天山电子</x:v>
      </x:c>
      <x:c r="D17" s="40" t="str">
        <x:v>模型筛选</x:v>
      </x:c>
      <x:c r="E17" s="46" t="n">
        <x:v>56.7366</x:v>
      </x:c>
      <x:c r="F17" s="46" t="n">
        <x:v>63.5</x:v>
      </x:c>
      <x:c r="G17" s="46" t="str">
        <x:v>继续观察</x:v>
      </x:c>
      <x:c r="H17" s="46" t="n">
        <x:v>56.7</x:v>
      </x:c>
      <x:c r="I17" s="46" t="n">
        <x:v>22.81</x:v>
      </x:c>
      <x:c r="J17" s="46" t="n">
        <x:v>29.62</x:v>
      </x:c>
      <x:c r="K17" s="46" t="n">
        <x:v>39.31</x:v>
      </x:c>
      <x:c r="L17" s="46" t="n">
        <x:v>29.62</x:v>
      </x:c>
      <x:c r="M17" s="46" t="n">
        <x:v>37.38</x:v>
      </x:c>
      <x:c r="N17" s="46" t="n">
        <x:v>27.25</x:v>
      </x:c>
      <x:c r="O17" s="46" t="n">
        <x:v>33.07</x:v>
      </x:c>
      <x:c r="P17" s="46" t="n">
        <x:v>36.51</x:v>
      </x:c>
      <x:c r="Q17" s="46" t="n">
        <x:v>1.4557</x:v>
      </x:c>
      <x:c r="R17" s="46" t="n">
        <x:v>2.9072</x:v>
      </x:c>
      <x:c r="S17" s="46" t="n">
        <x:v>2.9072</x:v>
      </x:c>
      <x:c r="T17" s="49" t="n">
        <x:v>0.002962</x:v>
      </x:c>
      <x:c r="U17" s="58" t="n">
        <x:v>2962</x:v>
      </x:c>
      <x:c r="V17" s="55" t="n">
        <x:v>100</x:v>
      </x:c>
      <x:c r="W17" s="58" t="n">
        <x:v>237</x:v>
      </x:c>
      <x:c r="X17" s="52" t="str">
        <x:v>未核验信息已按规则降权；目标日涨跌停价为规则估算；基本面信息含未核验推断</x:v>
      </x:c>
    </x:row>
    <x:row r="18">
      <x:c r="A18" s="40" t="n">
        <x:v>14</x:v>
      </x:c>
      <x:c r="B18" s="43" t="str">
        <x:v>300654</x:v>
      </x:c>
      <x:c r="C18" s="40" t="str">
        <x:v>世纪天鸿</x:v>
      </x:c>
      <x:c r="D18" s="40" t="str">
        <x:v>模型筛选</x:v>
      </x:c>
      <x:c r="E18" s="46" t="n">
        <x:v>56.4149</x:v>
      </x:c>
      <x:c r="F18" s="46" t="n">
        <x:v>59</x:v>
      </x:c>
      <x:c r="G18" s="46" t="str">
        <x:v>继续观察</x:v>
      </x:c>
      <x:c r="H18" s="46" t="n">
        <x:v>56.41</x:v>
      </x:c>
      <x:c r="I18" s="46" t="n">
        <x:v>8.74</x:v>
      </x:c>
      <x:c r="J18" s="46" t="n">
        <x:v>9.57</x:v>
      </x:c>
      <x:c r="K18" s="46" t="n">
        <x:v>10.71</x:v>
      </x:c>
      <x:c r="L18" s="46" t="n">
        <x:v>10.71</x:v>
      </x:c>
      <x:c r="M18" s="46" t="n">
        <x:v>10.83</x:v>
      </x:c>
      <x:c r="N18" s="46" t="n">
        <x:v>10.14</x:v>
      </x:c>
      <x:c r="O18" s="46" t="n">
        <x:v>11.28</x:v>
      </x:c>
      <x:c r="P18" s="46" t="n">
        <x:v>11.85</x:v>
      </x:c>
      <x:c r="Q18" s="46" t="n">
        <x:v>1</x:v>
      </x:c>
      <x:c r="R18" s="46" t="n">
        <x:v>2</x:v>
      </x:c>
      <x:c r="S18" s="46" t="n">
        <x:v>2</x:v>
      </x:c>
      <x:c r="T18" s="49" t="n">
        <x:v>0.006426</x:v>
      </x:c>
      <x:c r="U18" s="58" t="n">
        <x:v>6426</x:v>
      </x:c>
      <x:c r="V18" s="55" t="n">
        <x:v>600</x:v>
      </x:c>
      <x:c r="W18" s="58" t="n">
        <x:v>342</x:v>
      </x:c>
      <x:c r="X18" s="52" t="str">
        <x:v>未核验信息已按规则降权；目标日涨跌停价为规则估算；基本面信息含未核验推断</x:v>
      </x:c>
    </x:row>
    <x:row r="19">
      <x:c r="A19" s="40" t="n">
        <x:v>15</x:v>
      </x:c>
      <x:c r="B19" s="43" t="str">
        <x:v>002236</x:v>
      </x:c>
      <x:c r="C19" s="40" t="str">
        <x:v>大华股份</x:v>
      </x:c>
      <x:c r="D19" s="40" t="str">
        <x:v>模型筛选</x:v>
      </x:c>
      <x:c r="E19" s="46" t="n">
        <x:v>56.4335</x:v>
      </x:c>
      <x:c r="F19" s="46" t="n">
        <x:v>58.4</x:v>
      </x:c>
      <x:c r="G19" s="46" t="str">
        <x:v>继续观察</x:v>
      </x:c>
      <x:c r="H19" s="46" t="n">
        <x:v>56.4</x:v>
      </x:c>
      <x:c r="I19" s="46" t="n">
        <x:v>15.84</x:v>
      </x:c>
      <x:c r="J19" s="46" t="n">
        <x:v>16.61</x:v>
      </x:c>
      <x:c r="K19" s="46" t="n">
        <x:v>17.85</x:v>
      </x:c>
      <x:c r="L19" s="46" t="n">
        <x:v>15.84</x:v>
      </x:c>
      <x:c r="M19" s="46" t="n">
        <x:v>17.79</x:v>
      </x:c>
      <x:c r="N19" s="46" t="n">
        <x:v>15.21</x:v>
      </x:c>
      <x:c r="O19" s="46" t="n">
        <x:v>16.47</x:v>
      </x:c>
      <x:c r="P19" s="46" t="n">
        <x:v>17.1</x:v>
      </x:c>
      <x:c r="Q19" s="46" t="n">
        <x:v>1</x:v>
      </x:c>
      <x:c r="R19" s="46" t="n">
        <x:v>2</x:v>
      </x:c>
      <x:c r="S19" s="46" t="n">
        <x:v>2</x:v>
      </x:c>
      <x:c r="T19" s="49" t="n">
        <x:v>0.00792</x:v>
      </x:c>
      <x:c r="U19" s="58" t="n">
        <x:v>7920</x:v>
      </x:c>
      <x:c r="V19" s="55" t="n">
        <x:v>500</x:v>
      </x:c>
      <x:c r="W19" s="58" t="n">
        <x:v>315</x:v>
      </x:c>
      <x:c r="X19" s="52" t="str">
        <x:v>未核验信息已按规则降权；目标日涨跌停价为规则估算；基本面信息含未核验推断</x:v>
      </x:c>
    </x:row>
    <x:row r="20">
      <x:c r="A20" s="40" t="n">
        <x:v>16</x:v>
      </x:c>
      <x:c r="B20" s="43" t="str">
        <x:v>688019</x:v>
      </x:c>
      <x:c r="C20" s="40" t="str">
        <x:v>安集科技</x:v>
      </x:c>
      <x:c r="D20" s="40" t="str">
        <x:v>模型筛选</x:v>
      </x:c>
      <x:c r="E20" s="46" t="n">
        <x:v>56.3752</x:v>
      </x:c>
      <x:c r="F20" s="46" t="n">
        <x:v>53.5</x:v>
      </x:c>
      <x:c r="G20" s="46" t="str">
        <x:v>普通观察</x:v>
      </x:c>
      <x:c r="H20" s="46" t="n">
        <x:v>56.38</x:v>
      </x:c>
      <x:c r="I20" s="46" t="n">
        <x:v>222.21</x:v>
      </x:c>
      <x:c r="J20" s="46" t="n">
        <x:v>274.83</x:v>
      </x:c>
      <x:c r="K20" s="46" t="n">
        <x:v>366.01</x:v>
      </x:c>
      <x:c r="L20" s="46" t="n">
        <x:v>274.83</x:v>
      </x:c>
      <x:c r="M20" s="46" t="n">
        <x:v>328.44</x:v>
      </x:c>
      <x:c r="N20" s="46" t="n">
        <x:v>252.84</x:v>
      </x:c>
      <x:c r="O20" s="46" t="n">
        <x:v>305.74</x:v>
      </x:c>
      <x:c r="P20" s="46" t="n">
        <x:v>336.65</x:v>
      </x:c>
      <x:c r="Q20" s="46" t="n">
        <x:v>1.4056</x:v>
      </x:c>
      <x:c r="R20" s="46" t="n">
        <x:v>2.8113</x:v>
      </x:c>
      <x:c r="S20" s="46" t="n">
        <x:v>2.8113</x:v>
      </x:c>
      <x:c r="T20" s="49" t="n">
        <x:v>0</x:v>
      </x:c>
      <x:c r="U20" s="58" t="n">
        <x:v>0</x:v>
      </x:c>
      <x:c r="V20" s="55" t="n">
        <x:v>0</x:v>
      </x:c>
      <x:c r="W20" s="58" t="n">
        <x:v>0</x:v>
      </x:c>
      <x:c r="X20" s="52" t="str">
        <x:v>未核验信息已按规则降权；目标日涨跌停价为规则估算；建议金额不足一手；基本面信息含未核验推断</x:v>
      </x:c>
    </x:row>
    <x:row r="21">
      <x:c r="A21" s="40" t="n">
        <x:v>17</x:v>
      </x:c>
      <x:c r="B21" s="43" t="str">
        <x:v>001314</x:v>
      </x:c>
      <x:c r="C21" s="40" t="str">
        <x:v>亿道信息</x:v>
      </x:c>
      <x:c r="D21" s="40" t="str">
        <x:v>模型筛选</x:v>
      </x:c>
      <x:c r="E21" s="46" t="n">
        <x:v>56.0398</x:v>
      </x:c>
      <x:c r="F21" s="46" t="n">
        <x:v>58.5</x:v>
      </x:c>
      <x:c r="G21" s="46" t="str">
        <x:v>继续观察</x:v>
      </x:c>
      <x:c r="H21" s="46" t="n">
        <x:v>56</x:v>
      </x:c>
      <x:c r="I21" s="46" t="n">
        <x:v>50.85</x:v>
      </x:c>
      <x:c r="J21" s="46" t="n">
        <x:v>56.27</x:v>
      </x:c>
      <x:c r="K21" s="46" t="n">
        <x:v>64.52</x:v>
      </x:c>
      <x:c r="L21" s="46" t="n">
        <x:v>56.27</x:v>
      </x:c>
      <x:c r="M21" s="46" t="n">
        <x:v>64.3</x:v>
      </x:c>
      <x:c r="N21" s="46" t="n">
        <x:v>52.35</x:v>
      </x:c>
      <x:c r="O21" s="46" t="n">
        <x:v>60.19</x:v>
      </x:c>
      <x:c r="P21" s="46" t="n">
        <x:v>64.12</x:v>
      </x:c>
      <x:c r="Q21" s="46" t="n">
        <x:v>1</x:v>
      </x:c>
      <x:c r="R21" s="46" t="n">
        <x:v>2.0026</x:v>
      </x:c>
      <x:c r="S21" s="46" t="n">
        <x:v>2.0026</x:v>
      </x:c>
      <x:c r="T21" s="49" t="n">
        <x:v>0</x:v>
      </x:c>
      <x:c r="U21" s="58" t="n">
        <x:v>0</x:v>
      </x:c>
      <x:c r="V21" s="55" t="n">
        <x:v>0</x:v>
      </x:c>
      <x:c r="W21" s="58" t="n">
        <x:v>0</x:v>
      </x:c>
      <x:c r="X21" s="52" t="str">
        <x:v>未核验信息已按规则降权；目标日涨跌停价为规则估算；建议金额不足一手；基本面信息含未核验推断</x:v>
      </x:c>
    </x:row>
    <x:row r="22">
      <x:c r="A22" s="40" t="n">
        <x:v>18</x:v>
      </x:c>
      <x:c r="B22" s="43" t="str">
        <x:v>002965</x:v>
      </x:c>
      <x:c r="C22" s="40" t="str">
        <x:v>祥鑫科技</x:v>
      </x:c>
      <x:c r="D22" s="40" t="str">
        <x:v>模型筛选</x:v>
      </x:c>
      <x:c r="E22" s="46" t="n">
        <x:v>55.7712</x:v>
      </x:c>
      <x:c r="F22" s="46" t="n">
        <x:v>57.5</x:v>
      </x:c>
      <x:c r="G22" s="46" t="str">
        <x:v>继续观察</x:v>
      </x:c>
      <x:c r="H22" s="46" t="n">
        <x:v>55.77</x:v>
      </x:c>
      <x:c r="I22" s="46" t="n">
        <x:v>39.12</x:v>
      </x:c>
      <x:c r="J22" s="46" t="n">
        <x:v>45.58</x:v>
      </x:c>
      <x:c r="K22" s="46" t="n">
        <x:v>57.87</x:v>
      </x:c>
      <x:c r="L22" s="46" t="n">
        <x:v>45.58</x:v>
      </x:c>
      <x:c r="M22" s="46" t="n">
        <x:v>53.98</x:v>
      </x:c>
      <x:c r="N22" s="46" t="n">
        <x:v>41.93</x:v>
      </x:c>
      <x:c r="O22" s="46" t="n">
        <x:v>49.52</x:v>
      </x:c>
      <x:c r="P22" s="46" t="n">
        <x:v>53.47</x:v>
      </x:c>
      <x:c r="Q22" s="46" t="n">
        <x:v>1.0795</x:v>
      </x:c>
      <x:c r="R22" s="46" t="n">
        <x:v>2.1616</x:v>
      </x:c>
      <x:c r="S22" s="46" t="n">
        <x:v>2.1616</x:v>
      </x:c>
      <x:c r="T22" s="49" t="n">
        <x:v>0</x:v>
      </x:c>
      <x:c r="U22" s="58" t="n">
        <x:v>0</x:v>
      </x:c>
      <x:c r="V22" s="55" t="n">
        <x:v>0</x:v>
      </x:c>
      <x:c r="W22" s="58" t="n">
        <x:v>0</x:v>
      </x:c>
      <x:c r="X22" s="52" t="str">
        <x:v>未核验信息已按规则降权；目标日涨跌停价为规则估算；建议金额不足一手；基本面信息含未核验推断</x:v>
      </x:c>
    </x:row>
    <x:row r="23">
      <x:c r="A23" s="40" t="n">
        <x:v>19</x:v>
      </x:c>
      <x:c r="B23" s="43" t="str">
        <x:v>300287</x:v>
      </x:c>
      <x:c r="C23" s="40" t="str">
        <x:v>飞利信</x:v>
      </x:c>
      <x:c r="D23" s="40" t="str">
        <x:v>模型筛选</x:v>
      </x:c>
      <x:c r="E23" s="46" t="n">
        <x:v>55.7259</x:v>
      </x:c>
      <x:c r="F23" s="46" t="n">
        <x:v>53.5</x:v>
      </x:c>
      <x:c r="G23" s="46" t="str">
        <x:v>普通观察</x:v>
      </x:c>
      <x:c r="H23" s="46" t="n">
        <x:v>55.73</x:v>
      </x:c>
      <x:c r="I23" s="46" t="n">
        <x:v>3.04</x:v>
      </x:c>
      <x:c r="J23" s="46" t="n">
        <x:v>3.44</x:v>
      </x:c>
      <x:c r="K23" s="46" t="n">
        <x:v>4.03</x:v>
      </x:c>
      <x:c r="L23" s="46" t="n">
        <x:v>4.03</x:v>
      </x:c>
      <x:c r="M23" s="46" t="n">
        <x:v>4.07</x:v>
      </x:c>
      <x:c r="N23" s="46" t="n">
        <x:v>3.76</x:v>
      </x:c>
      <x:c r="O23" s="46" t="n">
        <x:v>4.3</x:v>
      </x:c>
      <x:c r="P23" s="46" t="n">
        <x:v>4.57</x:v>
      </x:c>
      <x:c r="Q23" s="46" t="n">
        <x:v>1</x:v>
      </x:c>
      <x:c r="R23" s="46" t="n">
        <x:v>2</x:v>
      </x:c>
      <x:c r="S23" s="46" t="n">
        <x:v>2</x:v>
      </x:c>
      <x:c r="T23" s="49" t="n">
        <x:v>0.004836</x:v>
      </x:c>
      <x:c r="U23" s="58" t="n">
        <x:v>4836</x:v>
      </x:c>
      <x:c r="V23" s="55" t="n">
        <x:v>1200</x:v>
      </x:c>
      <x:c r="W23" s="58" t="n">
        <x:v>324</x:v>
      </x:c>
      <x:c r="X23" s="52" t="str">
        <x:v>未核验信息已按规则降权；目标日涨跌停价为规则估算；基本面信息含未核验推断</x:v>
      </x:c>
    </x:row>
    <x:row r="24">
      <x:c r="A24" s="40" t="n">
        <x:v>20</x:v>
      </x:c>
      <x:c r="B24" s="43" t="str">
        <x:v>300458</x:v>
      </x:c>
      <x:c r="C24" s="40" t="str">
        <x:v>全志科技</x:v>
      </x:c>
      <x:c r="D24" s="40" t="str">
        <x:v>模型筛选</x:v>
      </x:c>
      <x:c r="E24" s="46" t="n">
        <x:v>60.7511</x:v>
      </x:c>
      <x:c r="F24" s="46" t="n">
        <x:v>54</x:v>
      </x:c>
      <x:c r="G24" s="46" t="str">
        <x:v>普通观察</x:v>
      </x:c>
      <x:c r="H24" s="46" t="n">
        <x:v>54</x:v>
      </x:c>
      <x:c r="I24" s="46" t="n">
        <x:v>30.34</x:v>
      </x:c>
      <x:c r="J24" s="46" t="n">
        <x:v>35.62</x:v>
      </x:c>
      <x:c r="K24" s="46" t="n">
        <x:v>43.14</x:v>
      </x:c>
      <x:c r="L24" s="46" t="n">
        <x:v>35.62</x:v>
      </x:c>
      <x:c r="M24" s="46" t="n">
        <x:v>42.03</x:v>
      </x:c>
      <x:c r="N24" s="46" t="n">
        <x:v>32.8</x:v>
      </x:c>
      <x:c r="O24" s="46" t="n">
        <x:v>38.44</x:v>
      </x:c>
      <x:c r="P24" s="46" t="n">
        <x:v>41.25</x:v>
      </x:c>
      <x:c r="Q24" s="46" t="n">
        <x:v>1</x:v>
      </x:c>
      <x:c r="R24" s="46" t="n">
        <x:v>1.9965</x:v>
      </x:c>
      <x:c r="S24" s="46" t="n">
        <x:v>1.9965</x:v>
      </x:c>
      <x:c r="T24" s="49" t="n">
        <x:v>0.003562</x:v>
      </x:c>
      <x:c r="U24" s="58" t="n">
        <x:v>3562</x:v>
      </x:c>
      <x:c r="V24" s="55" t="n">
        <x:v>100</x:v>
      </x:c>
      <x:c r="W24" s="58" t="n">
        <x:v>282</x:v>
      </x:c>
      <x:c r="X24" s="52" t="str">
        <x:v>未核验信息已按规则降权；目标日涨跌停价为规则估算；基本面信息含未核验推断</x:v>
      </x:c>
    </x:row>
    <x:row r="25">
      <x:c r="A25" s="40" t="n">
        <x:v>21</x:v>
      </x:c>
      <x:c r="B25" s="43" t="str">
        <x:v>300145</x:v>
      </x:c>
      <x:c r="C25" s="40" t="str">
        <x:v>南方泵业</x:v>
      </x:c>
      <x:c r="D25" s="40" t="str">
        <x:v>人工关注</x:v>
      </x:c>
      <x:c r="E25" s="46" t="n">
        <x:v>53.3097</x:v>
      </x:c>
      <x:c r="F25" s="46" t="n">
        <x:v>50</x:v>
      </x:c>
      <x:c r="G25" s="46" t="str">
        <x:v>普通观察</x:v>
      </x:c>
      <x:c r="H25" s="46" t="n">
        <x:v>53.31</x:v>
      </x:c>
      <x:c r="I25" s="46" t="n">
        <x:v>4.57</x:v>
      </x:c>
      <x:c r="J25" s="46" t="n">
        <x:v>5.39</x:v>
      </x:c>
      <x:c r="K25" s="46" t="n">
        <x:v>6.76</x:v>
      </x:c>
      <x:c r="L25" s="46" t="n">
        <x:v>5.39</x:v>
      </x:c>
      <x:c r="M25" s="46" t="n">
        <x:v>6.51</x:v>
      </x:c>
      <x:c r="N25" s="46" t="n">
        <x:v>4.96</x:v>
      </x:c>
      <x:c r="O25" s="46" t="n">
        <x:v>5.85</x:v>
      </x:c>
      <x:c r="P25" s="46" t="n">
        <x:v>6.31</x:v>
      </x:c>
      <x:c r="Q25" s="46" t="n">
        <x:v>1.0698</x:v>
      </x:c>
      <x:c r="R25" s="46" t="n">
        <x:v>2.1395</x:v>
      </x:c>
      <x:c r="S25" s="46" t="n">
        <x:v>2.1395</x:v>
      </x:c>
      <x:c r="T25" s="49" t="n">
        <x:v>0.003773</x:v>
      </x:c>
      <x:c r="U25" s="58" t="n">
        <x:v>3773</x:v>
      </x:c>
      <x:c r="V25" s="55" t="n">
        <x:v>700</x:v>
      </x:c>
      <x:c r="W25" s="58" t="n">
        <x:v>301</x:v>
      </x:c>
      <x:c r="X25" s="52" t="str">
        <x:v>未核验信息已按规则降权；目标日涨跌停价为规则估算；人工关注股，未进入模型重点名单；基本面信息含未核验推断</x:v>
      </x:c>
    </x:row>
    <x:row r="26">
      <x:c r="A26" s="40" t="n">
        <x:v>22</x:v>
      </x:c>
      <x:c r="B26" s="43" t="str">
        <x:v>300821</x:v>
      </x:c>
      <x:c r="C26" s="40" t="str">
        <x:v>东岳硅材</x:v>
      </x:c>
      <x:c r="D26" s="40" t="str">
        <x:v>人工关注</x:v>
      </x:c>
      <x:c r="E26" s="46" t="n">
        <x:v>52.1774</x:v>
      </x:c>
      <x:c r="F26" s="46" t="n">
        <x:v>50</x:v>
      </x:c>
      <x:c r="G26" s="46" t="str">
        <x:v>普通观察</x:v>
      </x:c>
      <x:c r="H26" s="46" t="n">
        <x:v>52.18</x:v>
      </x:c>
      <x:c r="I26" s="46" t="n">
        <x:v>16.54</x:v>
      </x:c>
      <x:c r="J26" s="46" t="n">
        <x:v>22.1</x:v>
      </x:c>
      <x:c r="K26" s="46" t="n">
        <x:v>31.01</x:v>
      </x:c>
      <x:c r="L26" s="46" t="n">
        <x:v>22.1</x:v>
      </x:c>
      <x:c r="M26" s="46" t="n">
        <x:v>28.3</x:v>
      </x:c>
      <x:c r="N26" s="46" t="n">
        <x:v>20.33</x:v>
      </x:c>
      <x:c r="O26" s="46" t="n">
        <x:v>24.95</x:v>
      </x:c>
      <x:c r="P26" s="46" t="n">
        <x:v>27.8</x:v>
      </x:c>
      <x:c r="Q26" s="46" t="n">
        <x:v>1.6102</x:v>
      </x:c>
      <x:c r="R26" s="46" t="n">
        <x:v>3.2203</x:v>
      </x:c>
      <x:c r="S26" s="46" t="n">
        <x:v>3.2203</x:v>
      </x:c>
      <x:c r="T26" s="49" t="n">
        <x:v>0.00221</x:v>
      </x:c>
      <x:c r="U26" s="58" t="n">
        <x:v>2210</x:v>
      </x:c>
      <x:c r="V26" s="55" t="n">
        <x:v>100</x:v>
      </x:c>
      <x:c r="W26" s="58" t="n">
        <x:v>177</x:v>
      </x:c>
      <x:c r="X26" s="52" t="str">
        <x:v>未核验信息已按规则降权；目标日涨跌停价为规则估算；人工关注股，未进入模型重点名单；基本面信息含未核验推断</x:v>
      </x:c>
    </x:row>
    <x:row r="27">
      <x:c r="A27" s="40" t="n">
        <x:v>23</x:v>
      </x:c>
      <x:c r="B27" s="43" t="str">
        <x:v>002409</x:v>
      </x:c>
      <x:c r="C27" s="40" t="str">
        <x:v>雅克科技</x:v>
      </x:c>
      <x:c r="D27" s="40" t="str">
        <x:v>人工关注</x:v>
      </x:c>
      <x:c r="E27" s="46" t="n">
        <x:v>47.4627</x:v>
      </x:c>
      <x:c r="F27" s="46" t="n">
        <x:v>50</x:v>
      </x:c>
      <x:c r="G27" s="46" t="str">
        <x:v>普通观察</x:v>
      </x:c>
      <x:c r="H27" s="46" t="n">
        <x:v>47.46</x:v>
      </x:c>
      <x:c r="I27" s="46" t="n">
        <x:v>128.96</x:v>
      </x:c>
      <x:c r="J27" s="46" t="n">
        <x:v>171.37</x:v>
      </x:c>
      <x:c r="K27" s="46" t="n">
        <x:v>246.45</x:v>
      </x:c>
      <x:c r="L27" s="46" t="n">
        <x:v>171.37</x:v>
      </x:c>
      <x:c r="M27" s="46" t="n">
        <x:v>217.52</x:v>
      </x:c>
      <x:c r="N27" s="46" t="n">
        <x:v>157.66</x:v>
      </x:c>
      <x:c r="O27" s="46" t="n">
        <x:v>190.59</x:v>
      </x:c>
      <x:c r="P27" s="46" t="n">
        <x:v>209.8</x:v>
      </x:c>
      <x:c r="Q27" s="46" t="n">
        <x:v>1.4019</x:v>
      </x:c>
      <x:c r="R27" s="46" t="n">
        <x:v>2.8031</x:v>
      </x:c>
      <x:c r="S27" s="46" t="n">
        <x:v>2.8031</x:v>
      </x:c>
      <x:c r="T27" s="49" t="n">
        <x:v>0</x:v>
      </x:c>
      <x:c r="U27" s="58" t="n">
        <x:v>0</x:v>
      </x:c>
      <x:c r="V27" s="55" t="n">
        <x:v>0</x:v>
      </x:c>
      <x:c r="W27" s="58" t="n">
        <x:v>0</x:v>
      </x:c>
      <x:c r="X27" s="52" t="str">
        <x:v>未核验信息已按规则降权；目标日涨跌停价为规则估算；人工关注股，未进入模型重点名单；建议金额不足一手；基本面信息含未核验推断</x:v>
      </x:c>
    </x:row>
    <x:row r="28">
      <x:c r="A28" s="40" t="n">
        <x:v>24</x:v>
      </x:c>
      <x:c r="B28" s="43" t="str">
        <x:v>002457</x:v>
      </x:c>
      <x:c r="C28" s="40" t="str">
        <x:v>青龙管业</x:v>
      </x:c>
      <x:c r="D28" s="40" t="str">
        <x:v>模型筛选</x:v>
      </x:c>
      <x:c r="E28" s="46" t="n">
        <x:v>62.6596</x:v>
      </x:c>
      <x:c r="F28" s="46" t="n">
        <x:v>50</x:v>
      </x:c>
      <x:c r="G28" s="46" t="str">
        <x:v>普通观察</x:v>
      </x:c>
      <x:c r="H28" s="46" t="n">
        <x:v>45</x:v>
      </x:c>
      <x:c r="I28" s="46" t="n">
        <x:v>11.95</x:v>
      </x:c>
      <x:c r="J28" s="46" t="n">
        <x:v>13.73</x:v>
      </x:c>
      <x:c r="K28" s="46" t="n">
        <x:v>16.51</x:v>
      </x:c>
      <x:c r="L28" s="46" t="n">
        <x:v>16.51</x:v>
      </x:c>
      <x:c r="M28" s="46" t="n">
        <x:v>16.54</x:v>
      </x:c>
      <x:c r="N28" s="46" t="n">
        <x:v>15.52</x:v>
      </x:c>
      <x:c r="O28" s="46" t="n">
        <x:v>17.5</x:v>
      </x:c>
      <x:c r="P28" s="46" t="n">
        <x:v>18.49</x:v>
      </x:c>
      <x:c r="Q28" s="46" t="n">
        <x:v>1</x:v>
      </x:c>
      <x:c r="R28" s="46" t="n">
        <x:v>2</x:v>
      </x:c>
      <x:c r="S28" s="46" t="n">
        <x:v>2</x:v>
      </x:c>
      <x:c r="T28" s="49" t="n">
        <x:v>0.006604</x:v>
      </x:c>
      <x:c r="U28" s="58" t="n">
        <x:v>6604</x:v>
      </x:c>
      <x:c r="V28" s="55" t="n">
        <x:v>400</x:v>
      </x:c>
      <x:c r="W28" s="58" t="n">
        <x:v>396</x:v>
      </x:c>
      <x:c r="X28" s="52" t="str">
        <x:v>未核验信息已按规则降权；目标日涨跌停价为规则估算；基本面信息含未核验推断</x:v>
      </x:c>
    </x:row>
    <x:row r="29">
      <x:c r="A29" s="40" t="n">
        <x:v>25</x:v>
      </x:c>
      <x:c r="B29" s="43" t="str">
        <x:v>301151</x:v>
      </x:c>
      <x:c r="C29" s="40" t="str">
        <x:v>冠龙节能</x:v>
      </x:c>
      <x:c r="D29" s="40" t="str">
        <x:v>人工关注</x:v>
      </x:c>
      <x:c r="E29" s="46" t="n">
        <x:v>57.7226</x:v>
      </x:c>
      <x:c r="F29" s="46" t="n">
        <x:v>50</x:v>
      </x:c>
      <x:c r="G29" s="46" t="str">
        <x:v>普通观察</x:v>
      </x:c>
      <x:c r="H29" s="46" t="n">
        <x:v>45</x:v>
      </x:c>
      <x:c r="I29" s="46" t="n">
        <x:v>16.41</x:v>
      </x:c>
      <x:c r="J29" s="46" t="n">
        <x:v>19.49</x:v>
      </x:c>
      <x:c r="K29" s="46" t="n">
        <x:v>23.59</x:v>
      </x:c>
      <x:c r="L29" s="46" t="n">
        <x:v>23.59</x:v>
      </x:c>
      <x:c r="M29" s="46" t="n">
        <x:v>24.12</x:v>
      </x:c>
      <x:c r="N29" s="46" t="n">
        <x:v>21.86</x:v>
      </x:c>
      <x:c r="O29" s="46" t="n">
        <x:v>25.32</x:v>
      </x:c>
      <x:c r="P29" s="46" t="n">
        <x:v>27.05</x:v>
      </x:c>
      <x:c r="Q29" s="46" t="n">
        <x:v>1</x:v>
      </x:c>
      <x:c r="R29" s="46" t="n">
        <x:v>2</x:v>
      </x:c>
      <x:c r="S29" s="46" t="n">
        <x:v>2</x:v>
      </x:c>
      <x:c r="T29" s="49" t="n">
        <x:v>0.004718</x:v>
      </x:c>
      <x:c r="U29" s="58" t="n">
        <x:v>4718</x:v>
      </x:c>
      <x:c r="V29" s="55" t="n">
        <x:v>200</x:v>
      </x:c>
      <x:c r="W29" s="58" t="n">
        <x:v>346</x:v>
      </x:c>
      <x:c r="X29" s="52" t="str">
        <x:v>未核验信息已按规则降权；目标日涨跌停价为规则估算；人工关注股，未进入模型重点名单；基本面信息含未核验推断</x:v>
      </x:c>
    </x:row>
    <x:row r="30">
      <x:c r="A30" s="40" t="n">
        <x:v>26</x:v>
      </x:c>
      <x:c r="B30" s="43" t="str">
        <x:v>603726</x:v>
      </x:c>
      <x:c r="C30" s="40" t="str">
        <x:v>朗迪集团</x:v>
      </x:c>
      <x:c r="D30" s="40" t="str">
        <x:v>人工关注</x:v>
      </x:c>
      <x:c r="E30" s="46" t="n">
        <x:v>44.3452</x:v>
      </x:c>
      <x:c r="F30" s="46" t="str"/>
      <x:c r="G30" s="46" t="str">
        <x:v>普通观察</x:v>
      </x:c>
      <x:c r="H30" s="46" t="n">
        <x:v>44.35</x:v>
      </x:c>
      <x:c r="I30" s="46" t="n">
        <x:v>25.28</x:v>
      </x:c>
      <x:c r="J30" s="46" t="n">
        <x:v>29.37</x:v>
      </x:c>
      <x:c r="K30" s="46" t="n">
        <x:v>36.01</x:v>
      </x:c>
      <x:c r="L30" s="46" t="str"/>
      <x:c r="M30" s="46" t="n">
        <x:v>34.34</x:v>
      </x:c>
      <x:c r="N30" s="46" t="str"/>
      <x:c r="O30" s="46" t="str"/>
      <x:c r="P30" s="46" t="str"/>
      <x:c r="Q30" s="46" t="str"/>
      <x:c r="R30" s="46" t="str"/>
      <x:c r="S30" s="46" t="str"/>
      <x:c r="T30" s="49" t="n">
        <x:v>0</x:v>
      </x:c>
      <x:c r="U30" s="58" t="n">
        <x:v>0</x:v>
      </x:c>
      <x:c r="V30" s="55" t="n">
        <x:v>0</x:v>
      </x:c>
      <x:c r="W30" s="58" t="n">
        <x:v>0</x:v>
      </x:c>
      <x:c r="X30" s="52" t="str">
        <x:v>未核验信息已按规则降权；目标日涨跌停价为规则估算；基本面补全未通过；人工关注股，未进入模型重点名单；风险规则阻断或缺少有效参考价</x:v>
      </x:c>
    </x:row>
    <x:row r="31">
      <x:c r="A31" s="41" t="n">
        <x:v>27</x:v>
      </x:c>
      <x:c r="B31" s="44" t="str">
        <x:v>301356</x:v>
      </x:c>
      <x:c r="C31" s="41" t="str">
        <x:v>天振股份</x:v>
      </x:c>
      <x:c r="D31" s="41" t="str">
        <x:v>人工关注</x:v>
      </x:c>
      <x:c r="E31" s="47" t="n">
        <x:v>25.5465</x:v>
      </x:c>
      <x:c r="F31" s="47" t="n">
        <x:v>50</x:v>
      </x:c>
      <x:c r="G31" s="47" t="str">
        <x:v>普通观察</x:v>
      </x:c>
      <x:c r="H31" s="47" t="n">
        <x:v>25.55</x:v>
      </x:c>
      <x:c r="I31" s="47" t="n">
        <x:v>22.21</x:v>
      </x:c>
      <x:c r="J31" s="47" t="n">
        <x:v>23.04</x:v>
      </x:c>
      <x:c r="K31" s="47" t="n">
        <x:v>30.06</x:v>
      </x:c>
      <x:c r="L31" s="47" t="n">
        <x:v>23.04</x:v>
      </x:c>
      <x:c r="M31" s="47" t="n">
        <x:v>24.79</x:v>
      </x:c>
      <x:c r="N31" s="47" t="n">
        <x:v>21.2</x:v>
      </x:c>
      <x:c r="O31" s="47" t="n">
        <x:v>25.25</x:v>
      </x:c>
      <x:c r="P31" s="47" t="n">
        <x:v>27.46</x:v>
      </x:c>
      <x:c r="Q31" s="47" t="n">
        <x:v>1.2011</x:v>
      </x:c>
      <x:c r="R31" s="47" t="n">
        <x:v>2.4022</x:v>
      </x:c>
      <x:c r="S31" s="47" t="n">
        <x:v>2.4022</x:v>
      </x:c>
      <x:c r="T31" s="50" t="n">
        <x:v>0</x:v>
      </x:c>
      <x:c r="U31" s="59" t="n">
        <x:v>0</x:v>
      </x:c>
      <x:c r="V31" s="56" t="n">
        <x:v>0</x:v>
      </x:c>
      <x:c r="W31" s="59" t="n">
        <x:v>0</x:v>
      </x:c>
      <x:c r="X31" s="53" t="str">
        <x:v>未核验信息已按规则降权；目标日涨跌停价为规则估算；人工关注股，未进入模型重点名单；建议金额不足一手；基本面信息含未核验推断</x:v>
      </x:c>
    </x:row>
    <x:row r="33">
      <x:c r="T33" s="61" t="n">
        <x:f>SUM(T5:T31)</x:f>
        <x:v>0.077768</x:v>
      </x:c>
      <x:c r="U33" s="62" t="n">
        <x:f>SUM(U5:U31)</x:f>
        <x:v>77768</x:v>
      </x:c>
      <x:c r="V33" s="62" t="n">
        <x:f>SUM(V5:V31)</x:f>
        <x:v>6400</x:v>
      </x:c>
      <x:c r="W33" s="62" t="n">
        <x:f>SUM(W5:W31)</x:f>
        <x:v>4535</x:v>
      </x:c>
    </x:row>
  </x:sheetData>
  <x:mergeCells>
    <x:mergeCell ref="A1:X2"/>
    <x:mergeCell ref="A3:X3"/>
  </x:mergeCells>
  <x:conditionalFormatting sqref="S5:S31">
    <x:cfRule type="colorScale" priority="1">
      <x:colorScale>
        <x:cfvo type="min"/>
        <x:cfvo type="percentile" val="50"/>
        <x:cfvo type="max"/>
        <x:color rgb="FFF4CCCC"/>
        <x:color rgb="FFFFF2CC"/>
        <x:color rgb="FFC6E0B4"/>
      </x:colorScale>
    </x:cfRule>
  </x:conditionalFormatting>
  <x:conditionalFormatting sqref="X5:X31">
    <x:cfRule type="containsText" dxfId="4" priority="2" operator="containsText" text="阻断"/>
    <x:cfRule type="containsText" dxfId="5" priority="3" operator="containsText" text="不足一手"/>
  </x:conditionalFormatting>
  <x:pageMargins left="0.7" right="0.7" top="0.75" bottom="0.75" header="0.3" footer="0.3"/>
  <x:tableParts count="1">
    <x:tablePart xmlns:r="http://schemas.openxmlformats.org/officeDocument/2006/relationships" r:id="R966ac619401a404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1" hidden="0" customWidth="1"/>
    <x:col min="2" max="2" width="16" hidden="0" customWidth="1"/>
    <x:col min="3" max="3" width="16" hidden="0" customWidth="1"/>
    <x:col min="4" max="4" width="16" hidden="0" customWidth="1"/>
    <x:col min="5" max="5" width="16" hidden="0" customWidth="1"/>
    <x:col min="6" max="6" width="16" hidden="0" customWidth="1"/>
    <x:col min="7" max="7" width="11" hidden="0" customWidth="1"/>
    <x:col min="8" max="8" width="34" hidden="0" customWidth="1"/>
    <x:col min="9" max="9" width="34" hidden="0" customWidth="1"/>
    <x:col min="10" max="10" width="34" hidden="0" customWidth="1"/>
    <x:col min="11" max="11" width="34" hidden="0" customWidth="1"/>
    <x:col min="12" max="12" width="34" hidden="0" customWidth="1"/>
    <x:col min="13" max="13" width="34" hidden="0" customWidth="1"/>
    <x:col min="14" max="14" width="34" hidden="0" customWidth="1"/>
    <x:col min="15" max="15" width="34" hidden="0" customWidth="1"/>
    <x:col min="16" max="16" width="11" hidden="0" customWidth="1"/>
    <x:col min="17" max="17" width="34" hidden="0" customWidth="1"/>
    <x:col min="18" max="18" width="11" hidden="0" customWidth="1"/>
    <x:col min="19" max="19" width="11" hidden="0" customWidth="1"/>
  </x:cols>
  <x:sheetData>
    <x:row r="1" ht="28" customHeight="1">
      <x:c r="A1" s="3" t="str">
        <x:v>基本面摘要</x:v>
      </x:c>
    </x:row>
    <x:row r="3" ht="22" customHeight="1">
      <x:c r="A3" s="5" t="str">
        <x:v>星号表示基于现有主营和结构化信息作出的保守归纳，建议重点核验核心逻辑与失效条件。</x:v>
      </x:c>
    </x:row>
    <x:row r="4" ht="32" customHeight="1">
      <x:c r="A4" s="34" t="str">
        <x:v>复核排名</x:v>
      </x:c>
      <x:c r="B4" s="34" t="str">
        <x:v>股票代码</x:v>
      </x:c>
      <x:c r="C4" s="34" t="str">
        <x:v>股票名称</x:v>
      </x:c>
      <x:c r="D4" s="34" t="str">
        <x:v>入选来源</x:v>
      </x:c>
      <x:c r="E4" s="34" t="str">
        <x:v>一级行业</x:v>
      </x:c>
      <x:c r="F4" s="34" t="str">
        <x:v>产业链</x:v>
      </x:c>
      <x:c r="G4" s="34" t="str">
        <x:v>链条位置</x:v>
      </x:c>
      <x:c r="H4" s="34" t="str">
        <x:v>主营业务</x:v>
      </x:c>
      <x:c r="I4" s="34" t="str">
        <x:v>核心产品</x:v>
      </x:c>
      <x:c r="J4" s="34" t="str">
        <x:v>概念标签</x:v>
      </x:c>
      <x:c r="K4" s="34" t="str">
        <x:v>结构性方向</x:v>
      </x:c>
      <x:c r="L4" s="34" t="str">
        <x:v>潜在优势</x:v>
      </x:c>
      <x:c r="M4" s="34" t="str">
        <x:v>行业趋势</x:v>
      </x:c>
      <x:c r="N4" s="34" t="str">
        <x:v>核心逻辑</x:v>
      </x:c>
      <x:c r="O4" s="34" t="str">
        <x:v>失效条件</x:v>
      </x:c>
      <x:c r="P4" s="34" t="str">
        <x:v>财务状态</x:v>
      </x:c>
      <x:c r="Q4" s="34" t="str">
        <x:v>财务说明</x:v>
      </x:c>
      <x:c r="R4" s="34" t="str">
        <x:v>人工复核</x:v>
      </x:c>
      <x:c r="S4" s="34" t="str">
        <x:v>复核优先级</x:v>
      </x:c>
    </x:row>
    <x:row r="5">
      <x:c r="A5" s="39" t="n">
        <x:v>1</x:v>
      </x:c>
      <x:c r="B5" s="42" t="str">
        <x:v>688981</x:v>
      </x:c>
      <x:c r="C5" s="39" t="str">
        <x:v>中芯国际</x:v>
      </x:c>
      <x:c r="D5" s="39" t="str">
        <x:v>模型筛选</x:v>
      </x:c>
      <x:c r="E5" s="39" t="str">
        <x:v>半导体</x:v>
      </x:c>
      <x:c r="F5" s="39" t="str">
        <x:v>半导体产业链*</x:v>
      </x:c>
      <x:c r="G5" s="39" t="str">
        <x:v>多环节*</x:v>
      </x:c>
      <x:c r="H5" s="51" t="str">
        <x:v>全球领先的集成电路晶圆代工企业之一，也是中国大陆技术最先进、规模最大、配套服务最完善、跨国经营的专业晶圆代工企业，主要为客户提供0.35微米至14纳米多种技术节点、不同工艺平台的集成电路晶圆代工及配套服务。*</x:v>
      </x:c>
      <x:c r="I5" s="51" t="str">
        <x:v>集成电路晶圆代工服务；设计服务与IP支持；光掩模制造；凸块加工及测试</x:v>
      </x:c>
      <x:c r="J5" s="51" t="str">
        <x:v>消费电子概念；半导体制造*；晶圆代工*</x:v>
      </x:c>
      <x:c r="K5" s="51" t="str">
        <x:v>半导体制造国产替代与先进制程升级*</x:v>
      </x:c>
      <x:c r="L5" s="51" t="str">
        <x:v>可能具备先进制程与规模优势，但仍需核验。*</x:v>
      </x:c>
      <x:c r="M5" s="51" t="str">
        <x:v>半导体行业长期受益于数字化、智能化趋势，晶圆代工需求持续增长。*</x:v>
      </x:c>
      <x:c r="N5" s="51" t="str">
        <x:v>公司作为中国大陆领先的晶圆代工企业，受益于半导体国产替代和先进制程需求增长，财务状态稳定，但需关注技术迭代和地缘政治风险。*</x:v>
      </x:c>
      <x:c r="O5" s="51" t="str">
        <x:v>主营或财务规则状态显著恶化；技术节点落后于竞争对手；客户订单大幅下滑</x:v>
      </x:c>
      <x:c r="P5" s="51" t="str">
        <x:v>稳定</x:v>
      </x:c>
      <x:c r="Q5" s="51" t="str">
        <x:v>财务状态稳定，基于营收、利润、现金流等指标稳定，无重大规则风险。*</x:v>
      </x:c>
      <x:c r="R5" s="39" t="str">
        <x:v>是</x:v>
      </x:c>
      <x:c r="S5" s="39" t="str">
        <x:v>中</x:v>
      </x:c>
    </x:row>
    <x:row r="6">
      <x:c r="A6" s="40" t="n">
        <x:v>2</x:v>
      </x:c>
      <x:c r="B6" s="43" t="str">
        <x:v>603893</x:v>
      </x:c>
      <x:c r="C6" s="40" t="str">
        <x:v>瑞芯微</x:v>
      </x:c>
      <x:c r="D6" s="40" t="str">
        <x:v>模型筛选</x:v>
      </x:c>
      <x:c r="E6" s="40" t="str">
        <x:v>半导体</x:v>
      </x:c>
      <x:c r="F6" s="40" t="str">
        <x:v>集成电路设计*</x:v>
      </x:c>
      <x:c r="G6" s="40" t="str">
        <x:v>多环节*</x:v>
      </x:c>
      <x:c r="H6" s="52" t="str">
        <x:v>智能应用处理器 系统级芯片 及周边配套芯片的设计、研发与销售。*</x:v>
      </x:c>
      <x:c r="I6" s="52" t="str">
        <x:v>智能应用处理器系统级芯片；周边配套芯片</x:v>
      </x:c>
      <x:c r="J6" s="52" t="str">
        <x:v>消费电子概念；人工智能芯片*；物联网芯片*；智能硬件芯片*</x:v>
      </x:c>
      <x:c r="K6" s="52" t="str">
        <x:v>智能应用处理器系统级芯片及周边芯片的设计与销售，契合人工智能、物联网、智能硬件等结构性方向。*</x:v>
      </x:c>
      <x:c r="L6" s="52" t="str">
        <x:v>可能具备系统级芯片设计能力及算法研究团队，但仍需核验。*</x:v>
      </x:c>
      <x:c r="M6" s="52" t="str">
        <x:v>万物互联与人工智能场景落地推动智能芯片需求增长。*</x:v>
      </x:c>
      <x:c r="N6" s="52" t="str">
        <x:v>公司主营智能应用处理器系统级芯片及周边芯片，受益于消费电子、物联网、人工智能等下游需求增长；财务表现稳健，营收和净利润同比增长显著，研发投入较高。*</x:v>
      </x:c>
      <x:c r="O6" s="52" t="str">
        <x:v>主营或财务规则状态显著恶化</x:v>
      </x:c>
      <x:c r="P6" s="52" t="str">
        <x:v>稳定</x:v>
      </x:c>
      <x:c r="Q6" s="52" t="str">
        <x:v>财务状态为稳定，基于营收、净利润、毛利率等指标均表现稳定，无重大规则风险。*</x:v>
      </x:c>
      <x:c r="R6" s="40" t="str">
        <x:v>是</x:v>
      </x:c>
      <x:c r="S6" s="40" t="str">
        <x:v>中</x:v>
      </x:c>
    </x:row>
    <x:row r="7">
      <x:c r="A7" s="40" t="n">
        <x:v>3</x:v>
      </x:c>
      <x:c r="B7" s="43" t="str">
        <x:v>300474</x:v>
      </x:c>
      <x:c r="C7" s="40" t="str">
        <x:v>景嘉微</x:v>
      </x:c>
      <x:c r="D7" s="40" t="str">
        <x:v>模型筛选</x:v>
      </x:c>
      <x:c r="E7" s="40" t="str">
        <x:v>元器件</x:v>
      </x:c>
      <x:c r="F7" s="40" t="str">
        <x:v>集成电路与电子元器件*</x:v>
      </x:c>
      <x:c r="G7" s="40" t="str">
        <x:v>多环节*</x:v>
      </x:c>
      <x:c r="H7" s="52" t="str">
        <x:v>高可靠军用电子产品的研发、生产和销售*</x:v>
      </x:c>
      <x:c r="I7" s="52" t="str">
        <x:v>图形图像处理系统；小型雷达系统；图传数据链系统；消费芯片</x:v>
      </x:c>
      <x:c r="J7" s="52" t="str">
        <x:v>图形处理芯片*；国产芯片*；军民融合*</x:v>
      </x:c>
      <x:c r="K7" s="52" t="str">
        <x:v>国产化替代与自主可控*</x:v>
      </x:c>
      <x:c r="L7" s="52" t="str">
        <x:v>可能具备相关能力，但仍需核验。*</x:v>
      </x:c>
      <x:c r="M7" s="52" t="str">
        <x:v>半导体国产化与军工信息化*</x:v>
      </x:c>
      <x:c r="N7" s="52" t="str">
        <x:v>公司主营高可靠军用电子产品，是国内唯一成功自主研发国产化图形处理芯片并产业化的企业，受益于国产替代和军工信息化趋势。但近期财务表现承压，营收下滑，净利润亏损，研发投入较高。*</x:v>
      </x:c>
      <x:c r="O7" s="52" t="str">
        <x:v>主营或财务规则状态显著恶化</x:v>
      </x:c>
      <x:c r="P7" s="52" t="str">
        <x:v>承压</x:v>
      </x:c>
      <x:c r="Q7" s="52" t="str">
        <x:v>财务状态为承压，主要因净利润亏损和经营性现金流为负，但资产负债率较低，财务风险可控。*</x:v>
      </x:c>
      <x:c r="R7" s="40" t="str">
        <x:v>是</x:v>
      </x:c>
      <x:c r="S7" s="40" t="str">
        <x:v>中</x:v>
      </x:c>
    </x:row>
    <x:row r="8">
      <x:c r="A8" s="40" t="n">
        <x:v>4</x:v>
      </x:c>
      <x:c r="B8" s="43" t="str">
        <x:v>002558</x:v>
      </x:c>
      <x:c r="C8" s="40" t="str">
        <x:v>巨人网络</x:v>
      </x:c>
      <x:c r="D8" s="40" t="str">
        <x:v>模型筛选</x:v>
      </x:c>
      <x:c r="E8" s="40" t="str">
        <x:v>互联网</x:v>
      </x:c>
      <x:c r="F8" s="40" t="str">
        <x:v>互联网游戏*</x:v>
      </x:c>
      <x:c r="G8" s="40" t="str">
        <x:v>多环节*</x:v>
      </x:c>
      <x:c r="H8" s="52" t="str">
        <x:v>互联网游戏、互联网社区工具为主,正在布局互联网金融、互联网医疗等其它互联网领域*</x:v>
      </x:c>
      <x:c r="I8" s="52" t="str">
        <x:v>互联网游戏；互联网社区工具</x:v>
      </x:c>
      <x:c r="J8" s="52" t="str">
        <x:v>游戏研发*；游戏运营*；网络游戏*</x:v>
      </x:c>
      <x:c r="K8" s="52" t="str">
        <x:v>游戏行业精品化、年轻化趋势*</x:v>
      </x:c>
      <x:c r="L8" s="52" t="str">
        <x:v>可能具备自主研发和运营能力，但仍需核验。*</x:v>
      </x:c>
      <x:c r="M8" s="52" t="str">
        <x:v>游戏行业持续增长，精品化、全球化趋势明显。*</x:v>
      </x:c>
      <x:c r="N8" s="52" t="str">
        <x:v>公司主营互联网游戏和社区工具，拥有多款国民级产品，财务表现稳健，营收和利润高速增长，毛利率高，现金流良好。*</x:v>
      </x:c>
      <x:c r="O8" s="52" t="str">
        <x:v>主营或财务规则状态显著恶化</x:v>
      </x:c>
      <x:c r="P8" s="52" t="str">
        <x:v>稳定</x:v>
      </x:c>
      <x:c r="Q8" s="52" t="str">
        <x:v>财务状态稳定，营收、利润高速增长，毛利率高，现金流健康，负债率低。*</x:v>
      </x:c>
      <x:c r="R8" s="40" t="str">
        <x:v>是</x:v>
      </x:c>
      <x:c r="S8" s="40" t="str">
        <x:v>中</x:v>
      </x:c>
    </x:row>
    <x:row r="9">
      <x:c r="A9" s="40" t="n">
        <x:v>5</x:v>
      </x:c>
      <x:c r="B9" s="43" t="str">
        <x:v>000977</x:v>
      </x:c>
      <x:c r="C9" s="40" t="str">
        <x:v>浪潮信息</x:v>
      </x:c>
      <x:c r="D9" s="40" t="str">
        <x:v>模型筛选</x:v>
      </x:c>
      <x:c r="E9" s="40" t="str">
        <x:v>IT设备</x:v>
      </x:c>
      <x:c r="F9" s="40" t="str">
        <x:v>IT设备与云计算基础设施*</x:v>
      </x:c>
      <x:c r="G9" s="40" t="str">
        <x:v>多环节*</x:v>
      </x:c>
      <x:c r="H9" s="52" t="str">
        <x:v>计算机软、硬件及其他信息产品的开发、生产、销售以及系统集成等。*</x:v>
      </x:c>
      <x:c r="I9" s="52" t="str">
        <x:v>计算机软硬件；系统集成</x:v>
      </x:c>
      <x:c r="J9" s="52" t="str">
        <x:v>云计算*；大数据*；智慧城市*；信创*</x:v>
      </x:c>
      <x:c r="K9" s="52" t="str">
        <x:v>云计算与大数据基础设施服务商*</x:v>
      </x:c>
      <x:c r="L9" s="52" t="str">
        <x:v>可能具备相关能力，但仍需核验。*</x:v>
      </x:c>
      <x:c r="M9" s="52" t="str">
        <x:v>企业数字化转型与云化趋势*</x:v>
      </x:c>
      <x:c r="N9" s="52" t="str">
        <x:v>公司主营计算机软硬件及系统集成，受益于云计算、大数据和智慧城市发展，但营收下滑，经营现金流为负，需关注。*</x:v>
      </x:c>
      <x:c r="O9" s="52" t="str">
        <x:v>主营或财务规则状态显著恶化</x:v>
      </x:c>
      <x:c r="P9" s="52" t="str">
        <x:v>稳定</x:v>
      </x:c>
      <x:c r="Q9" s="52" t="str">
        <x:v>财务状态稳定，但经营现金流为负，需关注现金流改善情况。*</x:v>
      </x:c>
      <x:c r="R9" s="40" t="str">
        <x:v>是</x:v>
      </x:c>
      <x:c r="S9" s="40" t="str">
        <x:v>仅复核</x:v>
      </x:c>
    </x:row>
    <x:row r="10">
      <x:c r="A10" s="40" t="n">
        <x:v>6</x:v>
      </x:c>
      <x:c r="B10" s="43" t="str">
        <x:v>688135</x:v>
      </x:c>
      <x:c r="C10" s="40" t="str">
        <x:v>利扬芯片</x:v>
      </x:c>
      <x:c r="D10" s="40" t="str">
        <x:v>模型筛选</x:v>
      </x:c>
      <x:c r="E10" s="40" t="str">
        <x:v>半导体</x:v>
      </x:c>
      <x:c r="F10" s="40" t="str">
        <x:v>集成电路测试服务*</x:v>
      </x:c>
      <x:c r="G10" s="40" t="str">
        <x:v>多环节*</x:v>
      </x:c>
      <x:c r="H10" s="52" t="str">
        <x:v>集成电路测试方案开发、12 英寸及 8 英寸晶圆测试服务(简称“中测”、“晶圆测试”或“CP”)、芯片成品测试服务(简称“成测”、“成品测试”或“FT”)以及与集成电路测试相关的配套服务。*</x:v>
      </x:c>
      <x:c r="I10" s="52" t="str">
        <x:v>集成电路测试方案开发；12英寸及8英寸晶圆测试服务；芯片成品测试服务；集成电路测试配套服务</x:v>
      </x:c>
      <x:c r="J10" s="52" t="str">
        <x:v>集成电路测试*；第三方测试服务*；晶圆测试*；芯片成品测试*</x:v>
      </x:c>
      <x:c r="K10" s="52" t="str">
        <x:v>集成电路测试服务是半导体产业链中不可或缺的一环，受益于芯片设计复杂度和出货量增长。*</x:v>
      </x:c>
      <x:c r="L10" s="52" t="str">
        <x:v>可能具备独立第三方测试服务能力，但仍需核验。*</x:v>
      </x:c>
      <x:c r="M10" s="52" t="str">
        <x:v>集成电路测试需求随芯片设计复杂度提升和先进制程演进而持续增长。*</x:v>
      </x:c>
      <x:c r="N10" s="52" t="str">
        <x:v>公司作为独立第三方集成电路测试服务商，主营晶圆测试和芯片成品测试，受益于半导体产业链分工细化和国产替代趋势。财务显示营收和利润增长，但规模较小，需关注后续订单和产能扩张。*</x:v>
      </x:c>
      <x:c r="O10" s="52" t="str">
        <x:v>主营或财务规则状态显著恶化</x:v>
      </x:c>
      <x:c r="P10" s="52" t="str">
        <x:v>稳定</x:v>
      </x:c>
      <x:c r="Q10" s="52" t="str">
        <x:v>财务状态为稳定，基于营收增长27.87%、净利润增长145.07%、毛利率27.40%、净利率2.30%、净资产收益率 0.25%、负债率40.00%等指标，未见重大规则风险。*</x:v>
      </x:c>
      <x:c r="R10" s="40" t="str">
        <x:v>是</x:v>
      </x:c>
      <x:c r="S10" s="40" t="str">
        <x:v>中</x:v>
      </x:c>
    </x:row>
    <x:row r="11">
      <x:c r="A11" s="40" t="n">
        <x:v>7</x:v>
      </x:c>
      <x:c r="B11" s="43" t="str">
        <x:v>002605</x:v>
      </x:c>
      <x:c r="C11" s="40" t="str">
        <x:v>姚记科技</x:v>
      </x:c>
      <x:c r="D11" s="40" t="str">
        <x:v>模型筛选</x:v>
      </x:c>
      <x:c r="E11" s="40" t="str">
        <x:v>互联网</x:v>
      </x:c>
      <x:c r="F11" s="40" t="str">
        <x:v>文娱消费品*</x:v>
      </x:c>
      <x:c r="G11" s="40" t="str">
        <x:v>多环节*</x:v>
      </x:c>
      <x:c r="H11" s="52" t="str">
        <x:v>扑克牌的生产销售业务和网络游戏的开发运营销售业务。*</x:v>
      </x:c>
      <x:c r="I11" s="52" t="str">
        <x:v>扑克牌；移动游戏</x:v>
      </x:c>
      <x:c r="J11" s="52" t="str">
        <x:v>扑克牌制造*；移动游戏研发运营*；互联网营销*</x:v>
      </x:c>
      <x:c r="K11" s="52" t="str">
        <x:v>消费娱乐与互联网数字化融合*</x:v>
      </x:c>
      <x:c r="L11" s="52" t="str">
        <x:v>可能具备品牌和渠道优势，但仍需核验。*</x:v>
      </x:c>
      <x:c r="M11" s="52" t="str">
        <x:v>休闲娱乐消费增长与游戏行业数字化趋势*</x:v>
      </x:c>
      <x:c r="N11" s="52" t="str">
        <x:v>公司主营扑克牌和移动游戏，受益于休闲娱乐消费和游戏行业增长，但需关注竞争和监管风险。*</x:v>
      </x:c>
      <x:c r="O11" s="52" t="str">
        <x:v>主营或财务规则状态显著恶化</x:v>
      </x:c>
      <x:c r="P11" s="52" t="str">
        <x:v>稳定</x:v>
      </x:c>
      <x:c r="Q11" s="52" t="str">
        <x:v>财务状态稳定，营收增长但净利润下滑，现金流健康，负债率低。*</x:v>
      </x:c>
      <x:c r="R11" s="40" t="str">
        <x:v>是</x:v>
      </x:c>
      <x:c r="S11" s="40" t="str">
        <x:v>中</x:v>
      </x:c>
    </x:row>
    <x:row r="12">
      <x:c r="A12" s="40" t="n">
        <x:v>8</x:v>
      </x:c>
      <x:c r="B12" s="43" t="str">
        <x:v>301345</x:v>
      </x:c>
      <x:c r="C12" s="40" t="str">
        <x:v>涛涛车业</x:v>
      </x:c>
      <x:c r="D12" s="40" t="str">
        <x:v>模型筛选</x:v>
      </x:c>
      <x:c r="E12" s="40" t="str">
        <x:v>摩托车</x:v>
      </x:c>
      <x:c r="F12" s="40" t="str">
        <x:v>电动出行与户外休闲车辆*</x:v>
      </x:c>
      <x:c r="G12" s="40" t="str">
        <x:v>多环节*</x:v>
      </x:c>
      <x:c r="H12" s="52" t="str">
        <x:v>户外休闲娱乐兼具短途交通代步功能的汽动车、电动车及其配件、用品的研发、生产和销售。*</x:v>
      </x:c>
      <x:c r="I12" s="52" t="str">
        <x:v>电动低速车；电动自行车；电动滑板车；电动平衡车；全地形车；越野摩托车</x:v>
      </x:c>
      <x:c r="J12" s="52" t="str">
        <x:v>电动出行*；户外休闲*；动力运动*</x:v>
      </x:c>
      <x:c r="K12" s="52" t="str">
        <x:v>电动化与户外休闲趋势*</x:v>
      </x:c>
      <x:c r="L12" s="52" t="str">
        <x:v>可能具备产品线丰富和国际化布局能力，但仍需核验。*</x:v>
      </x:c>
      <x:c r="M12" s="52" t="str">
        <x:v>电动两轮车和全地形车市场持续增长，户外休闲需求扩大。*</x:v>
      </x:c>
      <x:c r="N12" s="52" t="str">
        <x:v>公司主营电动出行和户外特种车，受益于电动化替代和户外运动普及，财务表现稳健，营收和利润高速增长。*</x:v>
      </x:c>
      <x:c r="O12" s="52" t="str">
        <x:v>主营或财务规则状态显著恶化</x:v>
      </x:c>
      <x:c r="P12" s="52" t="str">
        <x:v>稳定</x:v>
      </x:c>
      <x:c r="Q12" s="52" t="str">
        <x:v>财务状态为稳定，营收同比增长65.66%，净利润同比增长104.50%，毛利率40.90%，净利率16.65%，净资产收益率 4.77%，负债率37.22%，经营现金流健康。*</x:v>
      </x:c>
      <x:c r="R12" s="40" t="str">
        <x:v>是</x:v>
      </x:c>
      <x:c r="S12" s="40" t="str">
        <x:v>中</x:v>
      </x:c>
    </x:row>
    <x:row r="13">
      <x:c r="A13" s="40" t="n">
        <x:v>9</x:v>
      </x:c>
      <x:c r="B13" s="43" t="str">
        <x:v>603019</x:v>
      </x:c>
      <x:c r="C13" s="40" t="str">
        <x:v>中科曙光</x:v>
      </x:c>
      <x:c r="D13" s="40" t="str">
        <x:v>人工关注</x:v>
      </x:c>
      <x:c r="E13" s="40" t="str">
        <x:v>IT设备</x:v>
      </x:c>
      <x:c r="F13" s="40" t="str">
        <x:v>IT设备与计算服务*</x:v>
      </x:c>
      <x:c r="G13" s="40" t="str">
        <x:v>多环节*</x:v>
      </x:c>
      <x:c r="H13" s="52" t="str">
        <x:v>研究、开发、生产制造高性能计算机、通用服务器及存储产品,并围绕高端计算机提供软件开发、系统集成与技术服务。*</x:v>
      </x:c>
      <x:c r="I13" s="52" t="str">
        <x:v>高性能计算机；通用服务器；存储产品；软件开发；系统集成；技术服务</x:v>
      </x:c>
      <x:c r="J13" s="52" t="str">
        <x:v>高性能计算*；服务器*；存储*；云计算*；大数据*；IT基础设施*</x:v>
      </x:c>
      <x:c r="K13" s="52" t="str">
        <x:v>高性能计算与IT基础设施国产化*</x:v>
      </x:c>
      <x:c r="L13" s="52" t="str">
        <x:v>可能具备高性能计算机核心技术及产业化能力，但仍需核验。*</x:v>
      </x:c>
      <x:c r="M13" s="52" t="str">
        <x:v>高性能计算、云计算、大数据及国产替代长期趋势*</x:v>
      </x:c>
      <x:c r="N13" s="52" t="str">
        <x:v>公司主营高性能计算机、服务器及存储产品，并围绕高端计算机提供软件开发、系统集成与技术服务，受益于高性能计算、云计算及国产替代趋势。财务状态稳定，营收和利润增长良好，研发投入较高。*</x:v>
      </x:c>
      <x:c r="O13" s="52" t="str">
        <x:v>主营或财务规则状态显著恶化</x:v>
      </x:c>
      <x:c r="P13" s="52" t="str">
        <x:v>稳定</x:v>
      </x:c>
      <x:c r="Q13" s="52" t="str">
        <x:v>财务状态为稳定，营收同比增长23.71%，净利润同比增长22.19%，扣非净利润同比增长53.3%，毛利率26.56%，净利率6.00%，净资产收益率 1.02%，资产负债率41.14%，经营性现金流为负，但整体财务指标未见重大风险。*</x:v>
      </x:c>
      <x:c r="R13" s="40" t="str">
        <x:v>是</x:v>
      </x:c>
      <x:c r="S13" s="40" t="str">
        <x:v>中</x:v>
      </x:c>
    </x:row>
    <x:row r="14">
      <x:c r="A14" s="40" t="n">
        <x:v>10</x:v>
      </x:c>
      <x:c r="B14" s="43" t="str">
        <x:v>002274</x:v>
      </x:c>
      <x:c r="C14" s="40" t="str">
        <x:v>华昌化工</x:v>
      </x:c>
      <x:c r="D14" s="40" t="str">
        <x:v>模型筛选</x:v>
      </x:c>
      <x:c r="E14" s="40" t="str">
        <x:v>农药化肥</x:v>
      </x:c>
      <x:c r="F14" s="40" t="str">
        <x:v>煤化工产业链*</x:v>
      </x:c>
      <x:c r="G14" s="40" t="str">
        <x:v>多环节*</x:v>
      </x:c>
      <x:c r="H14" s="52" t="str">
        <x:v>公司是一家以煤气化为产业链源头的综合性化工企业。煤化工是以煤为原料，经过化学加工使煤转化为气体、液体、固体燃料及化学品，进一步生产出各种化工产品的工业。*</x:v>
      </x:c>
      <x:c r="I14" s="52" t="str">
        <x:v>煤化工产品（气体、液体、固体燃料及化学品）；化肥；化工原料；化工产品</x:v>
      </x:c>
      <x:c r="J14" s="52" t="str">
        <x:v>煤化工*；化肥*</x:v>
      </x:c>
      <x:c r="K14" s="52" t="str">
        <x:v>煤化工产业链一体化*</x:v>
      </x:c>
      <x:c r="L14" s="52" t="str">
        <x:v>可能具备煤化工产业链一体化优势，但仍需核验。*</x:v>
      </x:c>
      <x:c r="M14" s="52" t="str">
        <x:v>煤化工行业向高端化、精细化、绿色化发展*</x:v>
      </x:c>
      <x:c r="N14" s="52" t="str">
        <x:v>公司作为综合性煤化工企业，受益于煤化工产业链一体化布局，财务状态稳定，但需关注行业周期和原材料价格波动。*</x:v>
      </x:c>
      <x:c r="O14" s="52" t="str">
        <x:v>主营或财务规则状态显著恶化</x:v>
      </x:c>
      <x:c r="P14" s="52" t="str">
        <x:v>稳定</x:v>
      </x:c>
      <x:c r="Q14" s="52" t="str">
        <x:v>财务状态稳定，基于营收、利润、现金流等指标均稳定，无重大规则风险。*</x:v>
      </x:c>
      <x:c r="R14" s="40" t="str">
        <x:v>是</x:v>
      </x:c>
      <x:c r="S14" s="40" t="str">
        <x:v>中</x:v>
      </x:c>
    </x:row>
    <x:row r="15">
      <x:c r="A15" s="40" t="n">
        <x:v>11</x:v>
      </x:c>
      <x:c r="B15" s="43" t="str">
        <x:v>300604</x:v>
      </x:c>
      <x:c r="C15" s="40" t="str">
        <x:v>长川科技</x:v>
      </x:c>
      <x:c r="D15" s="40" t="str">
        <x:v>模型筛选</x:v>
      </x:c>
      <x:c r="E15" s="40" t="str">
        <x:v>半导体</x:v>
      </x:c>
      <x:c r="F15" s="40" t="str">
        <x:v>半导体设备*</x:v>
      </x:c>
      <x:c r="G15" s="40" t="str">
        <x:v>多环节*</x:v>
      </x:c>
      <x:c r="H15" s="52" t="str">
        <x:v>主要从事集成电路专用设备的研发、生产和销售*</x:v>
      </x:c>
      <x:c r="I15" s="52" t="str">
        <x:v>集成电路专用设备；半导体测试机；半导体分选机</x:v>
      </x:c>
      <x:c r="J15" s="52" t="str">
        <x:v>半导体设备*；集成电路装备*</x:v>
      </x:c>
      <x:c r="K15" s="52" t="str">
        <x:v>半导体设备国产替代*</x:v>
      </x:c>
      <x:c r="L15" s="52" t="str">
        <x:v>可能具备自主研发能力，但仍需核验。*</x:v>
      </x:c>
      <x:c r="M15" s="52" t="str">
        <x:v>集成电路装备国产化长期趋势*</x:v>
      </x:c>
      <x:c r="N15" s="52" t="str">
        <x:v>公司主营集成电路专用设备，受益于半导体设备国产替代趋势，营收和利润高速增长，但经营现金流为负需关注。*</x:v>
      </x:c>
      <x:c r="O15" s="52" t="str">
        <x:v>主营或财务规则状态显著恶化</x:v>
      </x:c>
      <x:c r="P15" s="52" t="str">
        <x:v>稳定</x:v>
      </x:c>
      <x:c r="Q15" s="52" t="str">
        <x:v>财务状态稳定，营收和利润高速增长，但经营现金流为负，现金流压力较大。*</x:v>
      </x:c>
      <x:c r="R15" s="40" t="str">
        <x:v>是</x:v>
      </x:c>
      <x:c r="S15" s="40" t="str">
        <x:v>中</x:v>
      </x:c>
    </x:row>
    <x:row r="16">
      <x:c r="A16" s="40" t="n">
        <x:v>12</x:v>
      </x:c>
      <x:c r="B16" s="43" t="str">
        <x:v>688343</x:v>
      </x:c>
      <x:c r="C16" s="40" t="str">
        <x:v>云天励飞</x:v>
      </x:c>
      <x:c r="D16" s="40" t="str">
        <x:v>模型筛选</x:v>
      </x:c>
      <x:c r="E16" s="40" t="str">
        <x:v>软件服务</x:v>
      </x:c>
      <x:c r="F16" s="40" t="str">
        <x:v>人工智能产业链*</x:v>
      </x:c>
      <x:c r="G16" s="40" t="str">
        <x:v>多环节*</x:v>
      </x:c>
      <x:c r="H16" s="52" t="str">
        <x:v>以人工智能算法、芯片技术为核心，为客户提供算法软件、芯片等自研核心产品，并可根据客户需求，将自身核心产品，外购的定制化或标准化硬件产品、安装施工服务等打包以解决方案的形式交付客户。*</x:v>
      </x:c>
      <x:c r="I16" s="52" t="str">
        <x:v>人工智能算法软件；人工智能芯片</x:v>
      </x:c>
      <x:c r="J16" s="52" t="str">
        <x:v>消费电子概念；人工智能芯片*；算法软件*；端云协同*</x:v>
      </x:c>
      <x:c r="K16" s="52" t="str">
        <x:v>人工智能技术在各行业的应用落地*</x:v>
      </x:c>
      <x:c r="L16" s="52" t="str">
        <x:v>可能具备算法芯片化及端云协同技术能力，但仍需核验。*</x:v>
      </x:c>
      <x:c r="M16" s="52" t="str">
        <x:v>人工智能技术在各行业的渗透与数字化转型*</x:v>
      </x:c>
      <x:c r="N16" s="52" t="str">
        <x:v>公司以人工智能算法和芯片为核心，提供软硬件解决方案，收入增长但持续亏损，研发投入高，需关注盈利改善。*</x:v>
      </x:c>
      <x:c r="O16" s="52" t="str">
        <x:v>主营或财务规则状态显著恶化</x:v>
      </x:c>
      <x:c r="P16" s="52" t="str">
        <x:v>稳定</x:v>
      </x:c>
      <x:c r="Q16" s="52" t="str">
        <x:v>财务状态稳定，但净利润为负，盈利能力承压，收入增长稳定，现金流和杠杆水平稳定。*</x:v>
      </x:c>
      <x:c r="R16" s="40" t="str">
        <x:v>是</x:v>
      </x:c>
      <x:c r="S16" s="40" t="str">
        <x:v>仅复核</x:v>
      </x:c>
    </x:row>
    <x:row r="17">
      <x:c r="A17" s="40" t="n">
        <x:v>13</x:v>
      </x:c>
      <x:c r="B17" s="43" t="str">
        <x:v>301379</x:v>
      </x:c>
      <x:c r="C17" s="40" t="str">
        <x:v>天山电子</x:v>
      </x:c>
      <x:c r="D17" s="40" t="str">
        <x:v>模型筛选</x:v>
      </x:c>
      <x:c r="E17" s="40" t="str">
        <x:v>元器件</x:v>
      </x:c>
      <x:c r="F17" s="40" t="str">
        <x:v>液晶显示产业链*</x:v>
      </x:c>
      <x:c r="G17" s="40" t="str">
        <x:v>多环节*</x:v>
      </x:c>
      <x:c r="H17" s="52" t="str">
        <x:v>从事专业显示领域定制化液晶显示屏及显示模组的研发、设计、生产和销售，主要产品包括单色液晶显示屏、单色液晶显示模组及彩色液晶显示模组*</x:v>
      </x:c>
      <x:c r="I17" s="52" t="str">
        <x:v>单色液晶显示屏；单色液晶显示模组；彩色液晶显示模组</x:v>
      </x:c>
      <x:c r="J17" s="52" t="str">
        <x:v>消费电子概念；液晶显示*；显示模组*</x:v>
      </x:c>
      <x:c r="K17" s="52" t="str">
        <x:v>专业显示领域定制化液晶显示屏及显示模组*</x:v>
      </x:c>
      <x:c r="L17" s="52" t="str">
        <x:v>具备从液晶显示面板至液晶显示模组/薄膜晶体管模组的配套产业链，可能具备成本与品质竞争力，但仍需核验。*</x:v>
      </x:c>
      <x:c r="M17" s="52" t="str">
        <x:v>液晶显示技术持续向高端化、多元化发展，车载、工控等专业显示领域需求增长。*</x:v>
      </x:c>
      <x:c r="N17" s="52" t="str">
        <x:v>公司主营专业显示领域定制化液晶显示屏及模组，拥有全自动生产线和一站式生产能力，但近期净利润下滑明显，需关注盈利改善情况。*</x:v>
      </x:c>
      <x:c r="O17" s="52" t="str">
        <x:v>主营或财务规则状态显著恶化</x:v>
      </x:c>
      <x:c r="P17" s="52" t="str">
        <x:v>稳定</x:v>
      </x:c>
      <x:c r="Q17" s="52" t="str">
        <x:v>财务状态为稳定，基于规则判断无重大风险，但净利润同比下滑45%，需关注后续财报。*</x:v>
      </x:c>
      <x:c r="R17" s="40" t="str">
        <x:v>是</x:v>
      </x:c>
      <x:c r="S17" s="40" t="str">
        <x:v>中</x:v>
      </x:c>
    </x:row>
    <x:row r="18">
      <x:c r="A18" s="40" t="n">
        <x:v>14</x:v>
      </x:c>
      <x:c r="B18" s="43" t="str">
        <x:v>300654</x:v>
      </x:c>
      <x:c r="C18" s="40" t="str">
        <x:v>世纪天鸿</x:v>
      </x:c>
      <x:c r="D18" s="40" t="str">
        <x:v>模型筛选</x:v>
      </x:c>
      <x:c r="E18" s="40" t="str">
        <x:v>出版业</x:v>
      </x:c>
      <x:c r="F18" s="40" t="str">
        <x:v>教育出版*</x:v>
      </x:c>
      <x:c r="G18" s="40" t="str">
        <x:v>多环节*</x:v>
      </x:c>
      <x:c r="H18" s="52" t="str">
        <x:v>助学读物的策划、设计、制作与发行,为我国中小学师生提供学习和备考解决方案*</x:v>
      </x:c>
      <x:c r="I18" s="52" t="str">
        <x:v>助学读物</x:v>
      </x:c>
      <x:c r="J18" s="52" t="str">
        <x:v>民营出版*；教育信息化*</x:v>
      </x:c>
      <x:c r="K18" s="52" t="str">
        <x:v>教育出版与数字化教育服务*</x:v>
      </x:c>
      <x:c r="L18" s="52" t="str">
        <x:v>可能具备相关能力，但仍需核验。*</x:v>
      </x:c>
      <x:c r="M18" s="52" t="str">
        <x:v>教育出版数字化与在线教育发展*</x:v>
      </x:c>
      <x:c r="N18" s="52" t="str">
        <x:v>公司主营助学读物策划发行，同时拓展教育信息化业务，但营收下滑、经营现金流为负，需关注转型进展。*</x:v>
      </x:c>
      <x:c r="O18" s="52" t="str">
        <x:v>主营或财务规则状态显著恶化</x:v>
      </x:c>
      <x:c r="P18" s="52" t="str">
        <x:v>稳定</x:v>
      </x:c>
      <x:c r="Q18" s="52" t="str">
        <x:v>财务状态稳定，但经营现金流为负，扣非净利润下滑，需关注现金流改善情况。*</x:v>
      </x:c>
      <x:c r="R18" s="40" t="str">
        <x:v>是</x:v>
      </x:c>
      <x:c r="S18" s="40" t="str">
        <x:v>中</x:v>
      </x:c>
    </x:row>
    <x:row r="19">
      <x:c r="A19" s="40" t="n">
        <x:v>15</x:v>
      </x:c>
      <x:c r="B19" s="43" t="str">
        <x:v>002236</x:v>
      </x:c>
      <x:c r="C19" s="40" t="str">
        <x:v>大华股份</x:v>
      </x:c>
      <x:c r="D19" s="40" t="str">
        <x:v>模型筛选</x:v>
      </x:c>
      <x:c r="E19" s="40" t="str">
        <x:v>IT设备</x:v>
      </x:c>
      <x:c r="F19" s="40" t="str">
        <x:v>安防视频监控*</x:v>
      </x:c>
      <x:c r="G19" s="40" t="str">
        <x:v>多环节*</x:v>
      </x:c>
      <x:c r="H19" s="52" t="str">
        <x:v>安防视频监控产品的研发、生产和销售。*</x:v>
      </x:c>
      <x:c r="I19" s="52" t="str">
        <x:v>安防视频监控产品</x:v>
      </x:c>
      <x:c r="J19" s="52" t="str">
        <x:v>安防*；视频监控*；智慧物联*</x:v>
      </x:c>
      <x:c r="K19" s="52" t="str">
        <x:v>视频监控智能化与智慧物联*</x:v>
      </x:c>
      <x:c r="L19" s="52" t="str">
        <x:v>可能具备研发与全球渠道优势，但仍需核验。*</x:v>
      </x:c>
      <x:c r="M19" s="52" t="str">
        <x:v>安防行业向智能化、物联网化转型*</x:v>
      </x:c>
      <x:c r="N19" s="52" t="str">
        <x:v>公司主营安防视频监控产品，受益于智慧城市和物联网发展，但需关注现金流压力。*</x:v>
      </x:c>
      <x:c r="O19" s="52" t="str">
        <x:v>主营或财务规则状态显著恶化</x:v>
      </x:c>
      <x:c r="P19" s="52" t="str">
        <x:v>稳定</x:v>
      </x:c>
      <x:c r="Q19" s="52" t="str">
        <x:v>财务状态稳定，但经营性现金流为负，需关注。*</x:v>
      </x:c>
      <x:c r="R19" s="40" t="str">
        <x:v>是</x:v>
      </x:c>
      <x:c r="S19" s="40" t="str">
        <x:v>中</x:v>
      </x:c>
    </x:row>
    <x:row r="20">
      <x:c r="A20" s="40" t="n">
        <x:v>16</x:v>
      </x:c>
      <x:c r="B20" s="43" t="str">
        <x:v>688019</x:v>
      </x:c>
      <x:c r="C20" s="40" t="str">
        <x:v>安集科技</x:v>
      </x:c>
      <x:c r="D20" s="40" t="str">
        <x:v>模型筛选</x:v>
      </x:c>
      <x:c r="E20" s="40" t="str">
        <x:v>半导体</x:v>
      </x:c>
      <x:c r="F20" s="40" t="str">
        <x:v>半导体材料*</x:v>
      </x:c>
      <x:c r="G20" s="40" t="str">
        <x:v>多环节*</x:v>
      </x:c>
      <x:c r="H20" s="52" t="str">
        <x:v>关键半导体材料的研发和产业化。*</x:v>
      </x:c>
      <x:c r="I20" s="52" t="str">
        <x:v>化学机械抛光液；光刻胶去除剂</x:v>
      </x:c>
      <x:c r="J20" s="52" t="str">
        <x:v>半导体材料*；集成电路*；先进封装*；进口替代*</x:v>
      </x:c>
      <x:c r="K20" s="52" t="str">
        <x:v>半导体材料国产化*</x:v>
      </x:c>
      <x:c r="L20" s="52" t="str">
        <x:v>可能具备相关能力，但仍需核验。*</x:v>
      </x:c>
      <x:c r="M20" s="52" t="str">
        <x:v>集成电路制造和先进封装领域对关键半导体材料的需求增长*</x:v>
      </x:c>
      <x:c r="N20" s="52" t="str">
        <x:v>公司主营关键半导体材料研发和产业化，产品包括化学机械抛光液和光刻胶去除剂，应用于集成电路制造和先进封装，实现进口替代。财务状态稳定，营收和利润增长良好。*</x:v>
      </x:c>
      <x:c r="O20" s="52" t="str">
        <x:v>主营或财务规则状态显著恶化</x:v>
      </x:c>
      <x:c r="P20" s="52" t="str">
        <x:v>稳定</x:v>
      </x:c>
      <x:c r="Q20" s="52" t="str">
        <x:v>财务状态稳定，基于营收、利润、现金流等指标均稳定，无重大规则风险。*</x:v>
      </x:c>
      <x:c r="R20" s="40" t="str">
        <x:v>是</x:v>
      </x:c>
      <x:c r="S20" s="40" t="str">
        <x:v>中</x:v>
      </x:c>
    </x:row>
    <x:row r="21">
      <x:c r="A21" s="40" t="n">
        <x:v>17</x:v>
      </x:c>
      <x:c r="B21" s="43" t="str">
        <x:v>001314</x:v>
      </x:c>
      <x:c r="C21" s="40" t="str">
        <x:v>亿道信息</x:v>
      </x:c>
      <x:c r="D21" s="40" t="str">
        <x:v>模型筛选</x:v>
      </x:c>
      <x:c r="E21" s="40" t="str">
        <x:v>元器件</x:v>
      </x:c>
      <x:c r="F21" s="40" t="str">
        <x:v>消费电子产业链*</x:v>
      </x:c>
      <x:c r="G21" s="40" t="str">
        <x:v>多环节*</x:v>
      </x:c>
      <x:c r="H21" s="52" t="str">
        <x:v>为客户提供行业智能终端平板产品和相关技术开发服务。*</x:v>
      </x:c>
      <x:c r="I21" s="52" t="str">
        <x:v>行业智能终端平板产品；技术开发服务</x:v>
      </x:c>
      <x:c r="J21" s="52" t="str">
        <x:v>消费电子概念；工业平板电脑*；嵌入式系统*；物联网终端*</x:v>
      </x:c>
      <x:c r="K21" s="52" t="str">
        <x:v>行业智能终端定制化解决方案*</x:v>
      </x:c>
      <x:c r="L21" s="52" t="str">
        <x:v>可能具备定制化研发和快速响应能力，但仍需核验。*</x:v>
      </x:c>
      <x:c r="M21" s="52" t="str">
        <x:v>工业数字化与物联网终端需求增长*</x:v>
      </x:c>
      <x:c r="N21" s="52" t="str">
        <x:v>公司主营行业智能终端平板产品及技术开发服务，受益于工业数字化和物联网终端需求增长，但经营现金流为负，需关注资金周转。*</x:v>
      </x:c>
      <x:c r="O21" s="52" t="str">
        <x:v>主营或财务规则状态显著恶化</x:v>
      </x:c>
      <x:c r="P21" s="52" t="str">
        <x:v>稳定</x:v>
      </x:c>
      <x:c r="Q21" s="52" t="str">
        <x:v>财务状态稳定，营收和利润高增长，但经营现金流为负，需关注现金流改善情况。*</x:v>
      </x:c>
      <x:c r="R21" s="40" t="str">
        <x:v>是</x:v>
      </x:c>
      <x:c r="S21" s="40" t="str">
        <x:v>中</x:v>
      </x:c>
    </x:row>
    <x:row r="22">
      <x:c r="A22" s="40" t="n">
        <x:v>18</x:v>
      </x:c>
      <x:c r="B22" s="43" t="str">
        <x:v>002965</x:v>
      </x:c>
      <x:c r="C22" s="40" t="str">
        <x:v>祥鑫科技</x:v>
      </x:c>
      <x:c r="D22" s="40" t="str">
        <x:v>模型筛选</x:v>
      </x:c>
      <x:c r="E22" s="40" t="str">
        <x:v>汽车配件</x:v>
      </x:c>
      <x:c r="F22" s="40" t="str">
        <x:v>汽车零部件及模具制造*</x:v>
      </x:c>
      <x:c r="G22" s="40" t="str">
        <x:v>多环节*</x:v>
      </x:c>
      <x:c r="H22" s="52" t="str">
        <x:v>精密冲压模具及金属结构件的研发、生产和销售。*</x:v>
      </x:c>
      <x:c r="I22" s="52" t="str">
        <x:v>精密冲压模具；金属结构件</x:v>
      </x:c>
      <x:c r="J22" s="52" t="str">
        <x:v>汽车模具*；新能源汽车轻量化*</x:v>
      </x:c>
      <x:c r="K22" s="52" t="str">
        <x:v>汽车轻量化与新能源零部件*</x:v>
      </x:c>
      <x:c r="L22" s="52" t="str">
        <x:v>可能具备精密冲压模具和金属结构件一体化解决方案能力，但仍需核验。*</x:v>
      </x:c>
      <x:c r="M22" s="52" t="str">
        <x:v>汽车轻量化及新能源汽车渗透率提升带动金属结构件需求增长。*</x:v>
      </x:c>
      <x:c r="N22" s="52" t="str">
        <x:v>公司主营精密冲压模具及金属结构件，受益于汽车轻量化和新能源趋势，但近期财务表现承压，净利润亏损，经营现金流为负，需关注盈利改善。*</x:v>
      </x:c>
      <x:c r="O22" s="52" t="str">
        <x:v>主营或财务规则状态显著恶化</x:v>
      </x:c>
      <x:c r="P22" s="52" t="str">
        <x:v>承压</x:v>
      </x:c>
      <x:c r="Q22" s="52" t="str">
        <x:v>财务状态为承压，主要因净利润亏损和经营现金流为负，但营收仍增长17.15%。*</x:v>
      </x:c>
      <x:c r="R22" s="40" t="str">
        <x:v>是</x:v>
      </x:c>
      <x:c r="S22" s="40" t="str">
        <x:v>仅复核</x:v>
      </x:c>
    </x:row>
    <x:row r="23">
      <x:c r="A23" s="40" t="n">
        <x:v>19</x:v>
      </x:c>
      <x:c r="B23" s="43" t="str">
        <x:v>300287</x:v>
      </x:c>
      <x:c r="C23" s="40" t="str">
        <x:v>飞利信</x:v>
      </x:c>
      <x:c r="D23" s="40" t="str">
        <x:v>模型筛选</x:v>
      </x:c>
      <x:c r="E23" s="40" t="str">
        <x:v>软件服务</x:v>
      </x:c>
      <x:c r="F23" s="40" t="str">
        <x:v>信息技术服务*</x:v>
      </x:c>
      <x:c r="G23" s="40" t="str">
        <x:v>多环节*</x:v>
      </x:c>
      <x:c r="H23" s="52" t="str">
        <x:v>向用户提供智能会议系统整体解决方案及相关服务,按其具体内容可以划分为智能会议系统整体解决方案、电子政务信息管理系统、建筑智能化工程和信息系统集成、IT产品销售。*</x:v>
      </x:c>
      <x:c r="I23" s="52" t="str">
        <x:v>智能会议系统整体解决方案；电子政务信息管理系统；建筑智能化工程；信息系统集成；IT产品销售</x:v>
      </x:c>
      <x:c r="J23" s="52" t="str">
        <x:v>智慧城市*；大数据*；互联网教育*</x:v>
      </x:c>
      <x:c r="K23" s="52" t="str">
        <x:v>智慧城市、大数据、互联网教育*</x:v>
      </x:c>
      <x:c r="L23" s="52" t="str">
        <x:v>可能具备智能会议系统核心技术及整体解决方案能力，但仍需核验。*</x:v>
      </x:c>
      <x:c r="M23" s="52" t="str">
        <x:v>数字化转型、智慧城市建设、大数据应用*</x:v>
      </x:c>
      <x:c r="N23" s="52" t="str">
        <x:v>公司主营智能会议系统、电子政务、建筑智能化及IT产品销售，并拓展智慧城市、大数据、互联网教育领域，但近期财务表现不佳，营收和净利润下滑，处于亏损状态。*</x:v>
      </x:c>
      <x:c r="O23" s="52" t="str">
        <x:v>主营或财务规则状态显著恶化</x:v>
      </x:c>
      <x:c r="P23" s="52" t="str">
        <x:v>稳定</x:v>
      </x:c>
      <x:c r="Q23" s="52" t="str">
        <x:v>财务状态为稳定，但盈利能力承压（净利润亏损），成长性稳定，现金流稳定，杠杆稳定。*</x:v>
      </x:c>
      <x:c r="R23" s="40" t="str">
        <x:v>是</x:v>
      </x:c>
      <x:c r="S23" s="40" t="str">
        <x:v>仅复核</x:v>
      </x:c>
    </x:row>
    <x:row r="24">
      <x:c r="A24" s="40" t="n">
        <x:v>20</x:v>
      </x:c>
      <x:c r="B24" s="43" t="str">
        <x:v>300458</x:v>
      </x:c>
      <x:c r="C24" s="40" t="str">
        <x:v>全志科技</x:v>
      </x:c>
      <x:c r="D24" s="40" t="str">
        <x:v>模型筛选</x:v>
      </x:c>
      <x:c r="E24" s="40" t="str">
        <x:v>半导体</x:v>
      </x:c>
      <x:c r="F24" s="40" t="str">
        <x:v>集成电路设计*</x:v>
      </x:c>
      <x:c r="G24" s="40" t="str">
        <x:v>多环节*</x:v>
      </x:c>
      <x:c r="H24" s="52" t="str">
        <x:v>从事系统级超大规模数模混合 系统级芯片 及智能电源管理芯片的设计, 主要产品为智能终端应用处理器芯片和智能电源管理芯片*</x:v>
      </x:c>
      <x:c r="I24" s="52" t="str">
        <x:v>智能终端应用处理器芯片；智能电源管理芯片</x:v>
      </x:c>
      <x:c r="J24" s="52" t="str">
        <x:v>系统级芯片芯片*；智能应用处理器*；电源管理芯片*</x:v>
      </x:c>
      <x:c r="K24" s="52" t="str">
        <x:v>仅描述与主营相关的结构性方向。*</x:v>
      </x:c>
      <x:c r="L24" s="52" t="str">
        <x:v>可能具备相关能力，但仍需核验。*</x:v>
      </x:c>
      <x:c r="M24" s="52" t="str">
        <x:v>仅描述长期结构性趋势。*</x:v>
      </x:c>
      <x:c r="N24" s="52" t="str">
        <x:v>仅依据输入主营、财务和量化摘要归纳。*</x:v>
      </x:c>
      <x:c r="O24" s="52" t="str">
        <x:v>主营或财务规则状态显著恶化</x:v>
      </x:c>
      <x:c r="P24" s="52" t="str">
        <x:v>稳定</x:v>
      </x:c>
      <x:c r="Q24" s="52" t="str">
        <x:v>沿用规则财务状态并解释可见指标。*</x:v>
      </x:c>
      <x:c r="R24" s="40" t="str">
        <x:v>是</x:v>
      </x:c>
      <x:c r="S24" s="40" t="str">
        <x:v>仅复核</x:v>
      </x:c>
    </x:row>
    <x:row r="25">
      <x:c r="A25" s="40" t="n">
        <x:v>21</x:v>
      </x:c>
      <x:c r="B25" s="43" t="str">
        <x:v>300145</x:v>
      </x:c>
      <x:c r="C25" s="40" t="str">
        <x:v>南方泵业</x:v>
      </x:c>
      <x:c r="D25" s="40" t="str">
        <x:v>人工关注</x:v>
      </x:c>
      <x:c r="E25" s="40" t="str">
        <x:v>机械基件</x:v>
      </x:c>
      <x:c r="F25" s="40" t="str">
        <x:v>流体设备与环保服务*</x:v>
      </x:c>
      <x:c r="G25" s="40" t="str">
        <x:v>多环节*</x:v>
      </x:c>
      <x:c r="H25" s="52" t="str">
        <x:v>通用设备制造、污水及污泥处理、环保咨询与环保设计*</x:v>
      </x:c>
      <x:c r="I25" s="52" t="str">
        <x:v>泵及真空设备；电机；模具；紧固件；通用零部件；水资源专用机械设备；配电开关控制设备；通用设备；环境保护专用设备</x:v>
      </x:c>
      <x:c r="J25" s="52" t="str">
        <x:v>节能泵*；环保设备*；污水处理*；固废处置*；环境工程*</x:v>
      </x:c>
      <x:c r="K25" s="52" t="str">
        <x:v>节能泵及绿色方案、环保综合服务*</x:v>
      </x:c>
      <x:c r="L25" s="52" t="str">
        <x:v>可能具备流体设备制造与环保技术结合的能力，但仍需核验。*</x:v>
      </x:c>
      <x:c r="M25" s="52" t="str">
        <x:v>节能环保、水资源综合利用、固废资源化*</x:v>
      </x:c>
      <x:c r="N25" s="52" t="str">
        <x:v>公司主营通用设备制造、污水及污泥处理、环保咨询与设计，受益于节能环保和绿色方案趋势，财务表现稳定但经营现金流为负，需关注现金流改善。*</x:v>
      </x:c>
      <x:c r="O25" s="52" t="str">
        <x:v>主营或财务规则状态显著恶化</x:v>
      </x:c>
      <x:c r="P25" s="52" t="str">
        <x:v>稳定</x:v>
      </x:c>
      <x:c r="Q25" s="52" t="str">
        <x:v>财务状态稳定，盈利能力、成长性、杠杆均稳定，但经营现金流为负，现金流承压。*</x:v>
      </x:c>
      <x:c r="R25" s="40" t="str">
        <x:v>是</x:v>
      </x:c>
      <x:c r="S25" s="40" t="str">
        <x:v>仅复核</x:v>
      </x:c>
    </x:row>
    <x:row r="26">
      <x:c r="A26" s="40" t="n">
        <x:v>22</x:v>
      </x:c>
      <x:c r="B26" s="43" t="str">
        <x:v>300821</x:v>
      </x:c>
      <x:c r="C26" s="40" t="str">
        <x:v>东岳硅材</x:v>
      </x:c>
      <x:c r="D26" s="40" t="str">
        <x:v>人工关注</x:v>
      </x:c>
      <x:c r="E26" s="40" t="str">
        <x:v>化工原料</x:v>
      </x:c>
      <x:c r="F26" s="40" t="str">
        <x:v>有机硅产业链*</x:v>
      </x:c>
      <x:c r="G26" s="40" t="str">
        <x:v>多环节*</x:v>
      </x:c>
      <x:c r="H26" s="52" t="str">
        <x:v>有机硅材料的研发、生产和销售。*</x:v>
      </x:c>
      <x:c r="I26" s="52" t="str">
        <x:v>有机硅单体；硅橡胶；硅油；气相白炭黑；有机硅中间体</x:v>
      </x:c>
      <x:c r="J26" s="52" t="str">
        <x:v>有机硅*；化工新材料*；国产替代*</x:v>
      </x:c>
      <x:c r="K26" s="52" t="str">
        <x:v>有机硅材料作为高性能化工新材料，受益于下游应用领域拓展和国产替代趋势。*</x:v>
      </x:c>
      <x:c r="L26" s="52" t="str">
        <x:v>可能具备从金属硅粉加工到有机硅单体、中间体及下游深加工产品的一体化生产能力，需核验规模优势和技术领先性。*</x:v>
      </x:c>
      <x:c r="M26" s="52" t="str">
        <x:v>有机硅行业向高性能、高附加值深加工产品方向发展，下游应用领域持续拓展。*</x:v>
      </x:c>
      <x:c r="N26" s="52" t="str">
        <x:v>公司可能受益于有机硅产业链一体化布局和深加工产品占比提升，但需核验具体财务表现。*</x:v>
      </x:c>
      <x:c r="O26" s="52" t="str">
        <x:v>主营或财务规则状态显著恶化</x:v>
      </x:c>
      <x:c r="P26" s="52" t="str">
        <x:v>稳定</x:v>
      </x:c>
      <x:c r="Q26" s="52" t="str">
        <x:v>财务状态稳定，基于营收、净利润、毛利率等指标稳定，无重大规则风险。*</x:v>
      </x:c>
      <x:c r="R26" s="40" t="str">
        <x:v>是</x:v>
      </x:c>
      <x:c r="S26" s="40" t="str">
        <x:v>仅复核</x:v>
      </x:c>
    </x:row>
    <x:row r="27">
      <x:c r="A27" s="40" t="n">
        <x:v>23</x:v>
      </x:c>
      <x:c r="B27" s="43" t="str">
        <x:v>002409</x:v>
      </x:c>
      <x:c r="C27" s="40" t="str">
        <x:v>雅克科技</x:v>
      </x:c>
      <x:c r="D27" s="40" t="str">
        <x:v>人工关注</x:v>
      </x:c>
      <x:c r="E27" s="40" t="str">
        <x:v>半导体</x:v>
      </x:c>
      <x:c r="F27" s="40" t="str">
        <x:v>化工新材料*</x:v>
      </x:c>
      <x:c r="G27" s="40" t="str">
        <x:v>多环节*</x:v>
      </x:c>
      <x:c r="H27" s="52" t="str">
        <x:v>磷酸酯阻燃剂和其他橡塑助剂的研发、生产和销售*</x:v>
      </x:c>
      <x:c r="I27" s="52" t="str">
        <x:v>磷酸酯阻燃剂；橡塑助剂</x:v>
      </x:c>
      <x:c r="J27" s="52" t="str">
        <x:v>电子半导体材料*；深冷复合材料*；磷系阻燃剂*</x:v>
      </x:c>
      <x:c r="K27" s="52" t="str">
        <x:v>新材料研发与生产*</x:v>
      </x:c>
      <x:c r="L27" s="52" t="str">
        <x:v>可能具备相关能力，但仍需核验。*</x:v>
      </x:c>
      <x:c r="M27" s="52" t="str">
        <x:v>电子半导体材料国产化及高端装备复合材料需求增长*</x:v>
      </x:c>
      <x:c r="N27" s="52" t="str">
        <x:v>公司主营磷酸酯阻燃剂和橡塑助剂，同时涉足电子半导体材料和深冷复合材料，受益于新材料国产化趋势，但需关注经营现金流为负的风险。*</x:v>
      </x:c>
      <x:c r="O27" s="52" t="str">
        <x:v>主营或财务规则状态显著恶化</x:v>
      </x:c>
      <x:c r="P27" s="52" t="str">
        <x:v>稳定</x:v>
      </x:c>
      <x:c r="Q27" s="52" t="str">
        <x:v>财务状态稳定，但经营现金流为负，需关注现金流改善情况。*</x:v>
      </x:c>
      <x:c r="R27" s="40" t="str">
        <x:v>是</x:v>
      </x:c>
      <x:c r="S27" s="40" t="str">
        <x:v>低</x:v>
      </x:c>
    </x:row>
    <x:row r="28">
      <x:c r="A28" s="40" t="n">
        <x:v>24</x:v>
      </x:c>
      <x:c r="B28" s="43" t="str">
        <x:v>002457</x:v>
      </x:c>
      <x:c r="C28" s="40" t="str">
        <x:v>青龙管业</x:v>
      </x:c>
      <x:c r="D28" s="40" t="str">
        <x:v>模型筛选</x:v>
      </x:c>
      <x:c r="E28" s="40" t="str">
        <x:v>塑料</x:v>
      </x:c>
      <x:c r="F28" s="40" t="str">
        <x:v>输节水管道制造*</x:v>
      </x:c>
      <x:c r="G28" s="40" t="str">
        <x:v>多环节*</x:v>
      </x:c>
      <x:c r="H28" s="52" t="str">
        <x:v>各类供水、排水管道的研发、制造和销售。*</x:v>
      </x:c>
      <x:c r="I28" s="52" t="str">
        <x:v>各类供水、排水管道</x:v>
      </x:c>
      <x:c r="J28" s="52" t="str">
        <x:v>水利工程*；管道制造*；节水灌溉*</x:v>
      </x:c>
      <x:c r="K28" s="52" t="str">
        <x:v>输节水工程全生命周期服务*</x:v>
      </x:c>
      <x:c r="L28" s="52" t="str">
        <x:v>可能具备相关能力，但仍需核验。*</x:v>
      </x:c>
      <x:c r="M28" s="52" t="str">
        <x:v>水利基础设施投资与节水改造长期趋势*</x:v>
      </x:c>
      <x:c r="N28" s="52" t="str">
        <x:v>公司主营供水排水管道，受益于水利投资，但近期财务表现承压，营收下滑，净利润亏损，经营现金流为负。*</x:v>
      </x:c>
      <x:c r="O28" s="52" t="str">
        <x:v>主营或财务规则状态显著恶化</x:v>
      </x:c>
      <x:c r="P28" s="52" t="str">
        <x:v>承压</x:v>
      </x:c>
      <x:c r="Q28" s="52" t="str">
        <x:v>财务状态为承压，因净利润亏损、经营现金流为负。*</x:v>
      </x:c>
      <x:c r="R28" s="40" t="str">
        <x:v>是</x:v>
      </x:c>
      <x:c r="S28" s="40" t="str">
        <x:v>仅复核</x:v>
      </x:c>
    </x:row>
    <x:row r="29">
      <x:c r="A29" s="40" t="n">
        <x:v>25</x:v>
      </x:c>
      <x:c r="B29" s="43" t="str">
        <x:v>301151</x:v>
      </x:c>
      <x:c r="C29" s="40" t="str">
        <x:v>冠龙节能</x:v>
      </x:c>
      <x:c r="D29" s="40" t="str">
        <x:v>人工关注</x:v>
      </x:c>
      <x:c r="E29" s="40" t="str">
        <x:v>机械基件</x:v>
      </x:c>
      <x:c r="F29" s="40" t="str">
        <x:v>阀门制造*</x:v>
      </x:c>
      <x:c r="G29" s="40" t="str">
        <x:v>多环节*</x:v>
      </x:c>
      <x:c r="H29" s="52" t="str">
        <x:v>节水阀门的研发、设计、生产和销售。*</x:v>
      </x:c>
      <x:c r="I29" s="52" t="str">
        <x:v>节水阀门</x:v>
      </x:c>
      <x:c r="J29" s="52" t="str">
        <x:v>节水阀门*；给排水阀门*；工业阀门*；自动控制系统*；环保设备*</x:v>
      </x:c>
      <x:c r="K29" s="52" t="str">
        <x:v>节水阀门与水务基础设施相关*</x:v>
      </x:c>
      <x:c r="L29" s="52" t="str">
        <x:v>可能具备研发制造能力，但仍需核验。*</x:v>
      </x:c>
      <x:c r="M29" s="52" t="str">
        <x:v>水务基础设施建设和节水需求增长*</x:v>
      </x:c>
      <x:c r="N29" s="52" t="str">
        <x:v>公司主营节水阀门，但近期财务数据显示营收下滑、净利润亏损，需关注盈利能力恢复。*</x:v>
      </x:c>
      <x:c r="O29" s="52" t="str">
        <x:v>主营或财务规则状态显著恶化</x:v>
      </x:c>
      <x:c r="P29" s="52" t="str">
        <x:v>稳定</x:v>
      </x:c>
      <x:c r="Q29" s="52" t="str">
        <x:v>财务状态稳定，但存在净亏损，营收同比下降，毛利率尚可，现金流质量较好。*</x:v>
      </x:c>
      <x:c r="R29" s="40" t="str">
        <x:v>是</x:v>
      </x:c>
      <x:c r="S29" s="40" t="str">
        <x:v>仅复核</x:v>
      </x:c>
    </x:row>
    <x:row r="30">
      <x:c r="A30" s="40" t="n">
        <x:v>26</x:v>
      </x:c>
      <x:c r="B30" s="43" t="str">
        <x:v>603726</x:v>
      </x:c>
      <x:c r="C30" s="40" t="str">
        <x:v>朗迪集团</x:v>
      </x:c>
      <x:c r="D30" s="40" t="str">
        <x:v>人工关注</x:v>
      </x:c>
      <x:c r="E30" s="40" t="str">
        <x:v>家用电器</x:v>
      </x:c>
      <x:c r="F30" s="40" t="str">
        <x:v>信息不足*</x:v>
      </x:c>
      <x:c r="G30" s="40" t="str">
        <x:v>信息不足</x:v>
      </x:c>
      <x:c r="H30" s="52" t="str">
        <x:v>公司主营空调风叶、风机(包括机壳、风叶和出风口)的研发和生产,通过自主研发、与下游厂商合作开发生产空调及其他通风系统中的各类风叶、风机,是专业的空调风叶、风机设计制造企业</x:v>
      </x:c>
      <x:c r="I30" s="52" t="str">
        <x:v>公司主营空调风叶、风机(包括机壳、风叶和出风口)的研发和生产,通过自主研发、与下游厂商合作开发生产空调及其他通风系统中的各类风叶、风机,是专业的空调风叶、风机设计制造企业</x:v>
      </x:c>
      <x:c r="J30" s="52" t="str">
        <x:v>信息不足*</x:v>
      </x:c>
      <x:c r="K30" s="52" t="str">
        <x:v>信息不足</x:v>
      </x:c>
      <x:c r="L30" s="52" t="str">
        <x:v>分析失败</x:v>
      </x:c>
      <x:c r="M30" s="52" t="str">
        <x:v>分析失败</x:v>
      </x:c>
      <x:c r="N30" s="52" t="str">
        <x:v>分析失败</x:v>
      </x:c>
      <x:c r="O30" s="52" t="str">
        <x:v>信息不足*</x:v>
      </x:c>
      <x:c r="P30" s="52" t="str">
        <x:v>稳定</x:v>
      </x:c>
      <x:c r="Q30" s="52" t="str">
        <x:v>信息不足*</x:v>
      </x:c>
      <x:c r="R30" s="40" t="str">
        <x:v>是</x:v>
      </x:c>
      <x:c r="S30" s="40" t="str">
        <x:v>低</x:v>
      </x:c>
    </x:row>
    <x:row r="31">
      <x:c r="A31" s="41" t="n">
        <x:v>27</x:v>
      </x:c>
      <x:c r="B31" s="44" t="str">
        <x:v>301356</x:v>
      </x:c>
      <x:c r="C31" s="41" t="str">
        <x:v>天振股份</x:v>
      </x:c>
      <x:c r="D31" s="41" t="str">
        <x:v>人工关注</x:v>
      </x:c>
      <x:c r="E31" s="41" t="str">
        <x:v>家居用品</x:v>
      </x:c>
      <x:c r="F31" s="41" t="str">
        <x:v>地面装饰材料*</x:v>
      </x:c>
      <x:c r="G31" s="41" t="str">
        <x:v>多环节*</x:v>
      </x:c>
      <x:c r="H31" s="53" t="str">
        <x:v>新型 聚氯乙烯 复合材料地板的研发、生产和销售*</x:v>
      </x:c>
      <x:c r="I31" s="53" t="str">
        <x:v>新型聚氯乙烯复合材料地板</x:v>
      </x:c>
      <x:c r="J31" s="53" t="str">
        <x:v>绿色环保建材*；新材料*</x:v>
      </x:c>
      <x:c r="K31" s="53" t="str">
        <x:v>绿色环保地面装饰材料*</x:v>
      </x:c>
      <x:c r="L31" s="53" t="str">
        <x:v>可能具备研发和专利优势，但仍需核验。*</x:v>
      </x:c>
      <x:c r="M31" s="53" t="str">
        <x:v>绿色环保建材替代传统材料*</x:v>
      </x:c>
      <x:c r="N31" s="53" t="str">
        <x:v>公司主营新型聚氯乙烯复合材料地板，受益于绿色环保趋势，但收入下滑，需关注后续增长。*</x:v>
      </x:c>
      <x:c r="O31" s="53" t="str">
        <x:v>主营或财务规则状态显著恶化</x:v>
      </x:c>
      <x:c r="P31" s="53" t="str">
        <x:v>稳定</x:v>
      </x:c>
      <x:c r="Q31" s="53" t="str">
        <x:v>财务状态稳定，营收下滑但利润增长，现金流质量较低。*</x:v>
      </x:c>
      <x:c r="R31" s="41" t="str">
        <x:v>是</x:v>
      </x:c>
      <x:c r="S31" s="41" t="str">
        <x:v>低</x:v>
      </x:c>
    </x:row>
  </x:sheetData>
  <x:mergeCells>
    <x:mergeCell ref="A1:S2"/>
    <x:mergeCell ref="A3:S3"/>
  </x:mergeCells>
  <x:conditionalFormatting sqref="P5:P31">
    <x:cfRule type="containsText" dxfId="6" priority="1" operator="containsText" text="承压"/>
  </x:conditionalFormatting>
  <x:conditionalFormatting sqref="R5:R31">
    <x:cfRule type="containsText" dxfId="7" priority="2" operator="containsText" text="是"/>
  </x:conditionalFormatting>
  <x:pageMargins left="0.7" right="0.7" top="0.75" bottom="0.75" header="0.3" footer="0.3"/>
  <x:tableParts count="1">
    <x:tablePart xmlns:r="http://schemas.openxmlformats.org/officeDocument/2006/relationships" r:id="R541b21b249bf404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0" hidden="0" customWidth="1"/>
    <x:col min="2" max="2" width="13" hidden="0" customWidth="1"/>
    <x:col min="3" max="3" width="15" hidden="0" customWidth="1"/>
    <x:col min="4" max="4" width="17"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4" hidden="0" customWidth="1"/>
  </x:cols>
  <x:sheetData>
    <x:row r="1" ht="28" customHeight="1">
      <x:c r="A1" s="3" t="str">
        <x:v>量化前100</x:v>
      </x:c>
    </x:row>
    <x:row r="3" ht="22" customHeight="1">
      <x:c r="A3" s="5" t="str">
        <x:v>用于快速浏览，不包含全市场技术字段。</x:v>
      </x:c>
    </x:row>
    <x:row r="4" ht="32" customHeight="1">
      <x:c r="A4" s="34" t="str">
        <x:v>量化排名</x:v>
      </x:c>
      <x:c r="B4" s="34" t="str">
        <x:v>股票代码</x:v>
      </x:c>
      <x:c r="C4" s="34" t="str">
        <x:v>股票名称</x:v>
      </x:c>
      <x:c r="D4" s="34" t="str">
        <x:v>一级行业</x:v>
      </x:c>
      <x:c r="E4" s="34" t="str">
        <x:v>量化总分</x:v>
      </x:c>
      <x:c r="F4" s="34" t="str">
        <x:v>技术得分</x:v>
      </x:c>
      <x:c r="G4" s="34" t="str">
        <x:v>资金得分</x:v>
      </x:c>
      <x:c r="H4" s="34" t="str">
        <x:v>情绪得分</x:v>
      </x:c>
      <x:c r="I4" s="34" t="str">
        <x:v>动量得分</x:v>
      </x:c>
      <x:c r="J4" s="34" t="str">
        <x:v>风险得分</x:v>
      </x:c>
      <x:c r="K4" s="34" t="str">
        <x:v>进入二筛</x:v>
      </x:c>
      <x:c r="L4" s="34" t="str">
        <x:v>进入重点候选</x:v>
      </x:c>
    </x:row>
    <x:row r="5">
      <x:c r="A5" s="39" t="n">
        <x:v>1</x:v>
      </x:c>
      <x:c r="B5" s="42" t="str">
        <x:v>603893</x:v>
      </x:c>
      <x:c r="C5" s="39" t="str">
        <x:v>瑞芯微</x:v>
      </x:c>
      <x:c r="D5" s="39" t="str">
        <x:v>半导体</x:v>
      </x:c>
      <x:c r="E5" s="45" t="n">
        <x:v>63.0011</x:v>
      </x:c>
      <x:c r="F5" s="45" t="n">
        <x:v>74.2854</x:v>
      </x:c>
      <x:c r="G5" s="45" t="n">
        <x:v>49.7818</x:v>
      </x:c>
      <x:c r="H5" s="45" t="n">
        <x:v>50</x:v>
      </x:c>
      <x:c r="I5" s="45" t="n">
        <x:v>100</x:v>
      </x:c>
      <x:c r="J5" s="45" t="n">
        <x:v>46.5618</x:v>
      </x:c>
      <x:c r="K5" s="39" t="str">
        <x:v>是</x:v>
      </x:c>
      <x:c r="L5" s="39" t="str">
        <x:v>是</x:v>
      </x:c>
    </x:row>
    <x:row r="6">
      <x:c r="A6" s="40" t="n">
        <x:v>2</x:v>
      </x:c>
      <x:c r="B6" s="43" t="str">
        <x:v>002457</x:v>
      </x:c>
      <x:c r="C6" s="40" t="str">
        <x:v>青龙管业</x:v>
      </x:c>
      <x:c r="D6" s="40" t="str">
        <x:v>塑料</x:v>
      </x:c>
      <x:c r="E6" s="46" t="n">
        <x:v>62.6596</x:v>
      </x:c>
      <x:c r="F6" s="46" t="n">
        <x:v>74.089</x:v>
      </x:c>
      <x:c r="G6" s="46" t="n">
        <x:v>52.9412</x:v>
      </x:c>
      <x:c r="H6" s="46" t="n">
        <x:v>50</x:v>
      </x:c>
      <x:c r="I6" s="46" t="n">
        <x:v>100</x:v>
      </x:c>
      <x:c r="J6" s="46" t="n">
        <x:v>39.3469</x:v>
      </x:c>
      <x:c r="K6" s="40" t="str">
        <x:v>是</x:v>
      </x:c>
      <x:c r="L6" s="40" t="str">
        <x:v>是</x:v>
      </x:c>
    </x:row>
    <x:row r="7">
      <x:c r="A7" s="40" t="n">
        <x:v>3</x:v>
      </x:c>
      <x:c r="B7" s="43" t="str">
        <x:v>300474</x:v>
      </x:c>
      <x:c r="C7" s="40" t="str">
        <x:v>景嘉微</x:v>
      </x:c>
      <x:c r="D7" s="40" t="str">
        <x:v>元器件</x:v>
      </x:c>
      <x:c r="E7" s="46" t="n">
        <x:v>62.4956</x:v>
      </x:c>
      <x:c r="F7" s="46" t="n">
        <x:v>75.3961</x:v>
      </x:c>
      <x:c r="G7" s="46" t="n">
        <x:v>49.4115</x:v>
      </x:c>
      <x:c r="H7" s="46" t="n">
        <x:v>50</x:v>
      </x:c>
      <x:c r="I7" s="46" t="n">
        <x:v>95.8627</x:v>
      </x:c>
      <x:c r="J7" s="46" t="n">
        <x:v>46.0954</x:v>
      </x:c>
      <x:c r="K7" s="40" t="str">
        <x:v>是</x:v>
      </x:c>
      <x:c r="L7" s="40" t="str">
        <x:v>是</x:v>
      </x:c>
    </x:row>
    <x:row r="8">
      <x:c r="A8" s="40" t="n">
        <x:v>4</x:v>
      </x:c>
      <x:c r="B8" s="43" t="str">
        <x:v>002558</x:v>
      </x:c>
      <x:c r="C8" s="40" t="str">
        <x:v>巨人网络</x:v>
      </x:c>
      <x:c r="D8" s="40" t="str">
        <x:v>互联网</x:v>
      </x:c>
      <x:c r="E8" s="46" t="n">
        <x:v>62.0724</x:v>
      </x:c>
      <x:c r="F8" s="46" t="n">
        <x:v>72.1434</x:v>
      </x:c>
      <x:c r="G8" s="46" t="n">
        <x:v>51.8005</x:v>
      </x:c>
      <x:c r="H8" s="46" t="n">
        <x:v>50</x:v>
      </x:c>
      <x:c r="I8" s="46" t="n">
        <x:v>90.6192</x:v>
      </x:c>
      <x:c r="J8" s="46" t="n">
        <x:v>49.9569</x:v>
      </x:c>
      <x:c r="K8" s="40" t="str">
        <x:v>是</x:v>
      </x:c>
      <x:c r="L8" s="40" t="str">
        <x:v>是</x:v>
      </x:c>
    </x:row>
    <x:row r="9">
      <x:c r="A9" s="40" t="n">
        <x:v>5</x:v>
      </x:c>
      <x:c r="B9" s="43" t="str">
        <x:v>300533</x:v>
      </x:c>
      <x:c r="C9" s="40" t="str">
        <x:v>冰川网络</x:v>
      </x:c>
      <x:c r="D9" s="40" t="str">
        <x:v>互联网</x:v>
      </x:c>
      <x:c r="E9" s="46" t="n">
        <x:v>61.9172</x:v>
      </x:c>
      <x:c r="F9" s="46" t="n">
        <x:v>70.2554</x:v>
      </x:c>
      <x:c r="G9" s="46" t="n">
        <x:v>52.9412</x:v>
      </x:c>
      <x:c r="H9" s="46" t="n">
        <x:v>50</x:v>
      </x:c>
      <x:c r="I9" s="46" t="n">
        <x:v>95.8643</x:v>
      </x:c>
      <x:c r="J9" s="46" t="n">
        <x:v>44.9227</x:v>
      </x:c>
      <x:c r="K9" s="40" t="str">
        <x:v>是</x:v>
      </x:c>
      <x:c r="L9" s="40" t="str">
        <x:v>否</x:v>
      </x:c>
    </x:row>
    <x:row r="10">
      <x:c r="A10" s="40" t="n">
        <x:v>6</x:v>
      </x:c>
      <x:c r="B10" s="43" t="str">
        <x:v>000977</x:v>
      </x:c>
      <x:c r="C10" s="40" t="str">
        <x:v>浪潮信息</x:v>
      </x:c>
      <x:c r="D10" s="40" t="str">
        <x:v>IT设备</x:v>
      </x:c>
      <x:c r="E10" s="46" t="n">
        <x:v>61.805</x:v>
      </x:c>
      <x:c r="F10" s="46" t="n">
        <x:v>72.6847</x:v>
      </x:c>
      <x:c r="G10" s="46" t="n">
        <x:v>52.9412</x:v>
      </x:c>
      <x:c r="H10" s="46" t="n">
        <x:v>50</x:v>
      </x:c>
      <x:c r="I10" s="46" t="n">
        <x:v>100</x:v>
      </x:c>
      <x:c r="J10" s="46" t="n">
        <x:v>35.9903</x:v>
      </x:c>
      <x:c r="K10" s="40" t="str">
        <x:v>是</x:v>
      </x:c>
      <x:c r="L10" s="40" t="str">
        <x:v>是</x:v>
      </x:c>
    </x:row>
    <x:row r="11">
      <x:c r="A11" s="40" t="n">
        <x:v>7</x:v>
      </x:c>
      <x:c r="B11" s="43" t="str">
        <x:v>688135</x:v>
      </x:c>
      <x:c r="C11" s="40" t="str">
        <x:v>利扬芯片</x:v>
      </x:c>
      <x:c r="D11" s="40" t="str">
        <x:v>半导体</x:v>
      </x:c>
      <x:c r="E11" s="46" t="n">
        <x:v>61.7652</x:v>
      </x:c>
      <x:c r="F11" s="46" t="n">
        <x:v>70.5986</x:v>
      </x:c>
      <x:c r="G11" s="46" t="n">
        <x:v>52.9412</x:v>
      </x:c>
      <x:c r="H11" s="46" t="n">
        <x:v>50</x:v>
      </x:c>
      <x:c r="I11" s="46" t="n">
        <x:v>98.3554</x:v>
      </x:c>
      <x:c r="J11" s="46" t="n">
        <x:v>40.846</x:v>
      </x:c>
      <x:c r="K11" s="40" t="str">
        <x:v>是</x:v>
      </x:c>
      <x:c r="L11" s="40" t="str">
        <x:v>是</x:v>
      </x:c>
    </x:row>
    <x:row r="12">
      <x:c r="A12" s="40" t="n">
        <x:v>8</x:v>
      </x:c>
      <x:c r="B12" s="43" t="str">
        <x:v>002605</x:v>
      </x:c>
      <x:c r="C12" s="40" t="str">
        <x:v>姚记科技</x:v>
      </x:c>
      <x:c r="D12" s="40" t="str">
        <x:v>互联网</x:v>
      </x:c>
      <x:c r="E12" s="46" t="n">
        <x:v>61.7576</x:v>
      </x:c>
      <x:c r="F12" s="46" t="n">
        <x:v>83.3087</x:v>
      </x:c>
      <x:c r="G12" s="46" t="n">
        <x:v>46.0818</x:v>
      </x:c>
      <x:c r="H12" s="46" t="n">
        <x:v>50</x:v>
      </x:c>
      <x:c r="I12" s="46" t="n">
        <x:v>74.6893</x:v>
      </x:c>
      <x:c r="J12" s="46" t="n">
        <x:v>54.7104</x:v>
      </x:c>
      <x:c r="K12" s="40" t="str">
        <x:v>是</x:v>
      </x:c>
      <x:c r="L12" s="40" t="str">
        <x:v>是</x:v>
      </x:c>
    </x:row>
    <x:row r="13">
      <x:c r="A13" s="40" t="n">
        <x:v>9</x:v>
      </x:c>
      <x:c r="B13" s="43" t="str">
        <x:v>301345</x:v>
      </x:c>
      <x:c r="C13" s="40" t="str">
        <x:v>涛涛车业</x:v>
      </x:c>
      <x:c r="D13" s="40" t="str">
        <x:v>摩托车</x:v>
      </x:c>
      <x:c r="E13" s="46" t="n">
        <x:v>61.3397</x:v>
      </x:c>
      <x:c r="F13" s="46" t="n">
        <x:v>73.5606</x:v>
      </x:c>
      <x:c r="G13" s="46" t="n">
        <x:v>45.6408</x:v>
      </x:c>
      <x:c r="H13" s="46" t="n">
        <x:v>50</x:v>
      </x:c>
      <x:c r="I13" s="46" t="n">
        <x:v>99.0505</x:v>
      </x:c>
      <x:c r="J13" s="46" t="n">
        <x:v>44.5451</x:v>
      </x:c>
      <x:c r="K13" s="40" t="str">
        <x:v>是</x:v>
      </x:c>
      <x:c r="L13" s="40" t="str">
        <x:v>是</x:v>
      </x:c>
    </x:row>
    <x:row r="14">
      <x:c r="A14" s="40" t="n">
        <x:v>10</x:v>
      </x:c>
      <x:c r="B14" s="43" t="str">
        <x:v>603019</x:v>
      </x:c>
      <x:c r="C14" s="40" t="str">
        <x:v>中科曙光</x:v>
      </x:c>
      <x:c r="D14" s="40" t="str">
        <x:v>IT设备</x:v>
      </x:c>
      <x:c r="E14" s="46" t="n">
        <x:v>61.2617</x:v>
      </x:c>
      <x:c r="F14" s="46" t="n">
        <x:v>74.8814</x:v>
      </x:c>
      <x:c r="G14" s="46" t="n">
        <x:v>52.9412</x:v>
      </x:c>
      <x:c r="H14" s="46" t="n">
        <x:v>50</x:v>
      </x:c>
      <x:c r="I14" s="46" t="n">
        <x:v>100</x:v>
      </x:c>
      <x:c r="J14" s="46" t="n">
        <x:v>28.7072</x:v>
      </x:c>
      <x:c r="K14" s="40" t="str">
        <x:v>是</x:v>
      </x:c>
      <x:c r="L14" s="40" t="str">
        <x:v>是</x:v>
      </x:c>
    </x:row>
    <x:row r="15">
      <x:c r="A15" s="40" t="n">
        <x:v>11</x:v>
      </x:c>
      <x:c r="B15" s="43" t="str">
        <x:v>600129</x:v>
      </x:c>
      <x:c r="C15" s="40" t="str">
        <x:v>太极集团</x:v>
      </x:c>
      <x:c r="D15" s="40" t="str">
        <x:v>中成药</x:v>
      </x:c>
      <x:c r="E15" s="46" t="n">
        <x:v>61.2595</x:v>
      </x:c>
      <x:c r="F15" s="46" t="n">
        <x:v>73.081</x:v>
      </x:c>
      <x:c r="G15" s="46" t="n">
        <x:v>52.9412</x:v>
      </x:c>
      <x:c r="H15" s="46" t="n">
        <x:v>50</x:v>
      </x:c>
      <x:c r="I15" s="46" t="n">
        <x:v>100</x:v>
      </x:c>
      <x:c r="J15" s="46" t="n">
        <x:v>31.6933</x:v>
      </x:c>
      <x:c r="K15" s="40" t="str">
        <x:v>是</x:v>
      </x:c>
      <x:c r="L15" s="40" t="str">
        <x:v>否</x:v>
      </x:c>
    </x:row>
    <x:row r="16">
      <x:c r="A16" s="40" t="n">
        <x:v>12</x:v>
      </x:c>
      <x:c r="B16" s="43" t="str">
        <x:v>300759</x:v>
      </x:c>
      <x:c r="C16" s="40" t="str">
        <x:v>康龙化成</x:v>
      </x:c>
      <x:c r="D16" s="40" t="str">
        <x:v>化学制药</x:v>
      </x:c>
      <x:c r="E16" s="46" t="n">
        <x:v>61.1657</x:v>
      </x:c>
      <x:c r="F16" s="46" t="n">
        <x:v>62.7794</x:v>
      </x:c>
      <x:c r="G16" s="46" t="n">
        <x:v>50.2652</x:v>
      </x:c>
      <x:c r="H16" s="46" t="n">
        <x:v>50</x:v>
      </x:c>
      <x:c r="I16" s="46" t="n">
        <x:v>100</x:v>
      </x:c>
      <x:c r="J16" s="46" t="n">
        <x:v>52.6973</x:v>
      </x:c>
      <x:c r="K16" s="40" t="str">
        <x:v>是</x:v>
      </x:c>
      <x:c r="L16" s="40" t="str">
        <x:v>否</x:v>
      </x:c>
    </x:row>
    <x:row r="17">
      <x:c r="A17" s="40" t="n">
        <x:v>13</x:v>
      </x:c>
      <x:c r="B17" s="43" t="str">
        <x:v>300043</x:v>
      </x:c>
      <x:c r="C17" s="40" t="str">
        <x:v>星辉娱乐</x:v>
      </x:c>
      <x:c r="D17" s="40" t="str">
        <x:v>互联网</x:v>
      </x:c>
      <x:c r="E17" s="46" t="n">
        <x:v>61.1583</x:v>
      </x:c>
      <x:c r="F17" s="46" t="n">
        <x:v>71.7723</x:v>
      </x:c>
      <x:c r="G17" s="46" t="n">
        <x:v>52.9412</x:v>
      </x:c>
      <x:c r="H17" s="46" t="n">
        <x:v>50</x:v>
      </x:c>
      <x:c r="I17" s="46" t="n">
        <x:v>100</x:v>
      </x:c>
      <x:c r="J17" s="46" t="n">
        <x:v>33.1993</x:v>
      </x:c>
      <x:c r="K17" s="40" t="str">
        <x:v>是</x:v>
      </x:c>
      <x:c r="L17" s="40" t="str">
        <x:v>否</x:v>
      </x:c>
    </x:row>
    <x:row r="18">
      <x:c r="A18" s="40" t="n">
        <x:v>14</x:v>
      </x:c>
      <x:c r="B18" s="43" t="str">
        <x:v>300418</x:v>
      </x:c>
      <x:c r="C18" s="40" t="str">
        <x:v>昆仑万维</x:v>
      </x:c>
      <x:c r="D18" s="40" t="str">
        <x:v>互联网</x:v>
      </x:c>
      <x:c r="E18" s="46" t="n">
        <x:v>60.8472</x:v>
      </x:c>
      <x:c r="F18" s="46" t="n">
        <x:v>74.2739</x:v>
      </x:c>
      <x:c r="G18" s="46" t="n">
        <x:v>52.9412</x:v>
      </x:c>
      <x:c r="H18" s="46" t="n">
        <x:v>50</x:v>
      </x:c>
      <x:c r="I18" s="46" t="n">
        <x:v>100</x:v>
      </x:c>
      <x:c r="J18" s="46" t="n">
        <x:v>26.9562</x:v>
      </x:c>
      <x:c r="K18" s="40" t="str">
        <x:v>是</x:v>
      </x:c>
      <x:c r="L18" s="40" t="str">
        <x:v>否</x:v>
      </x:c>
    </x:row>
    <x:row r="19">
      <x:c r="A19" s="40" t="n">
        <x:v>15</x:v>
      </x:c>
      <x:c r="B19" s="43" t="str">
        <x:v>300458</x:v>
      </x:c>
      <x:c r="C19" s="40" t="str">
        <x:v>全志科技</x:v>
      </x:c>
      <x:c r="D19" s="40" t="str">
        <x:v>半导体</x:v>
      </x:c>
      <x:c r="E19" s="46" t="n">
        <x:v>60.7511</x:v>
      </x:c>
      <x:c r="F19" s="46" t="n">
        <x:v>74.066</x:v>
      </x:c>
      <x:c r="G19" s="46" t="n">
        <x:v>52.9412</x:v>
      </x:c>
      <x:c r="H19" s="46" t="n">
        <x:v>50</x:v>
      </x:c>
      <x:c r="I19" s="46" t="n">
        <x:v>82.9642</x:v>
      </x:c>
      <x:c r="J19" s="46" t="n">
        <x:v>43.6975</x:v>
      </x:c>
      <x:c r="K19" s="40" t="str">
        <x:v>是</x:v>
      </x:c>
      <x:c r="L19" s="40" t="str">
        <x:v>是</x:v>
      </x:c>
    </x:row>
    <x:row r="20">
      <x:c r="A20" s="40" t="n">
        <x:v>16</x:v>
      </x:c>
      <x:c r="B20" s="43" t="str">
        <x:v>002274</x:v>
      </x:c>
      <x:c r="C20" s="40" t="str">
        <x:v>华昌化工</x:v>
      </x:c>
      <x:c r="D20" s="40" t="str">
        <x:v>农药化肥</x:v>
      </x:c>
      <x:c r="E20" s="46" t="n">
        <x:v>60.676</x:v>
      </x:c>
      <x:c r="F20" s="46" t="n">
        <x:v>77.7057</x:v>
      </x:c>
      <x:c r="G20" s="46" t="n">
        <x:v>52.9412</x:v>
      </x:c>
      <x:c r="H20" s="46" t="n">
        <x:v>50</x:v>
      </x:c>
      <x:c r="I20" s="46" t="n">
        <x:v>85.5566</x:v>
      </x:c>
      <x:c r="J20" s="46" t="n">
        <x:v>34.5385</x:v>
      </x:c>
      <x:c r="K20" s="40" t="str">
        <x:v>是</x:v>
      </x:c>
      <x:c r="L20" s="40" t="str">
        <x:v>是</x:v>
      </x:c>
    </x:row>
    <x:row r="21">
      <x:c r="A21" s="40" t="n">
        <x:v>17</x:v>
      </x:c>
      <x:c r="B21" s="43" t="str">
        <x:v>688222</x:v>
      </x:c>
      <x:c r="C21" s="40" t="str">
        <x:v>成都先导</x:v>
      </x:c>
      <x:c r="D21" s="40" t="str">
        <x:v>化学制药</x:v>
      </x:c>
      <x:c r="E21" s="46" t="n">
        <x:v>60.5927</x:v>
      </x:c>
      <x:c r="F21" s="46" t="n">
        <x:v>70.0431</x:v>
      </x:c>
      <x:c r="G21" s="46" t="n">
        <x:v>52.9412</x:v>
      </x:c>
      <x:c r="H21" s="46" t="n">
        <x:v>50</x:v>
      </x:c>
      <x:c r="I21" s="46" t="n">
        <x:v>96.0271</x:v>
      </x:c>
      <x:c r="J21" s="46" t="n">
        <x:v>36.2837</x:v>
      </x:c>
      <x:c r="K21" s="40" t="str">
        <x:v>是</x:v>
      </x:c>
      <x:c r="L21" s="40" t="str">
        <x:v>否</x:v>
      </x:c>
    </x:row>
    <x:row r="22">
      <x:c r="A22" s="40" t="n">
        <x:v>18</x:v>
      </x:c>
      <x:c r="B22" s="43" t="str">
        <x:v>000034</x:v>
      </x:c>
      <x:c r="C22" s="40" t="str">
        <x:v>神州数码</x:v>
      </x:c>
      <x:c r="D22" s="40" t="str">
        <x:v>软件服务</x:v>
      </x:c>
      <x:c r="E22" s="46" t="n">
        <x:v>60.527</x:v>
      </x:c>
      <x:c r="F22" s="46" t="n">
        <x:v>77.9608</x:v>
      </x:c>
      <x:c r="G22" s="46" t="n">
        <x:v>52.9412</x:v>
      </x:c>
      <x:c r="H22" s="46" t="n">
        <x:v>50</x:v>
      </x:c>
      <x:c r="I22" s="46" t="n">
        <x:v>81.6976</x:v>
      </x:c>
      <x:c r="J22" s="46" t="n">
        <x:v>36.9794</x:v>
      </x:c>
      <x:c r="K22" s="40" t="str">
        <x:v>是</x:v>
      </x:c>
      <x:c r="L22" s="40" t="str">
        <x:v>否</x:v>
      </x:c>
    </x:row>
    <x:row r="23">
      <x:c r="A23" s="40" t="n">
        <x:v>19</x:v>
      </x:c>
      <x:c r="B23" s="43" t="str">
        <x:v>300725</x:v>
      </x:c>
      <x:c r="C23" s="40" t="str">
        <x:v>药石科技</x:v>
      </x:c>
      <x:c r="D23" s="40" t="str">
        <x:v>化学制药</x:v>
      </x:c>
      <x:c r="E23" s="46" t="n">
        <x:v>60.4492</x:v>
      </x:c>
      <x:c r="F23" s="46" t="n">
        <x:v>78.0754</x:v>
      </x:c>
      <x:c r="G23" s="46" t="n">
        <x:v>52.9412</x:v>
      </x:c>
      <x:c r="H23" s="46" t="n">
        <x:v>50</x:v>
      </x:c>
      <x:c r="I23" s="46" t="n">
        <x:v>69.1307</x:v>
      </x:c>
      <x:c r="J23" s="46" t="n">
        <x:v>48.8363</x:v>
      </x:c>
      <x:c r="K23" s="40" t="str">
        <x:v>是</x:v>
      </x:c>
      <x:c r="L23" s="40" t="str">
        <x:v>否</x:v>
      </x:c>
    </x:row>
    <x:row r="24">
      <x:c r="A24" s="40" t="n">
        <x:v>20</x:v>
      </x:c>
      <x:c r="B24" s="43" t="str">
        <x:v>603118</x:v>
      </x:c>
      <x:c r="C24" s="40" t="str">
        <x:v>共进股份</x:v>
      </x:c>
      <x:c r="D24" s="40" t="str">
        <x:v>通信设备</x:v>
      </x:c>
      <x:c r="E24" s="46" t="n">
        <x:v>60.2585</x:v>
      </x:c>
      <x:c r="F24" s="46" t="n">
        <x:v>79.6925</x:v>
      </x:c>
      <x:c r="G24" s="46" t="n">
        <x:v>52.9412</x:v>
      </x:c>
      <x:c r="H24" s="46" t="n">
        <x:v>50</x:v>
      </x:c>
      <x:c r="I24" s="46" t="n">
        <x:v>94.2275</x:v>
      </x:c>
      <x:c r="J24" s="46" t="n">
        <x:v>19.7731</x:v>
      </x:c>
      <x:c r="K24" s="40" t="str">
        <x:v>是</x:v>
      </x:c>
      <x:c r="L24" s="40" t="str">
        <x:v>否</x:v>
      </x:c>
    </x:row>
    <x:row r="25">
      <x:c r="A25" s="40" t="n">
        <x:v>21</x:v>
      </x:c>
      <x:c r="B25" s="43" t="str">
        <x:v>000518</x:v>
      </x:c>
      <x:c r="C25" s="40" t="str">
        <x:v>四环生物</x:v>
      </x:c>
      <x:c r="D25" s="40" t="str">
        <x:v>生物制药</x:v>
      </x:c>
      <x:c r="E25" s="46" t="n">
        <x:v>60.0797</x:v>
      </x:c>
      <x:c r="F25" s="46" t="n">
        <x:v>70.9255</x:v>
      </x:c>
      <x:c r="G25" s="46" t="n">
        <x:v>40.1408</x:v>
      </x:c>
      <x:c r="H25" s="46" t="n">
        <x:v>50</x:v>
      </x:c>
      <x:c r="I25" s="46" t="n">
        <x:v>100</x:v>
      </x:c>
      <x:c r="J25" s="46" t="n">
        <x:v>48.7543</x:v>
      </x:c>
      <x:c r="K25" s="40" t="str">
        <x:v>是</x:v>
      </x:c>
      <x:c r="L25" s="40" t="str">
        <x:v>否</x:v>
      </x:c>
    </x:row>
    <x:row r="26">
      <x:c r="A26" s="40" t="n">
        <x:v>22</x:v>
      </x:c>
      <x:c r="B26" s="43" t="str">
        <x:v>000063</x:v>
      </x:c>
      <x:c r="C26" s="40" t="str">
        <x:v>中兴通讯</x:v>
      </x:c>
      <x:c r="D26" s="40" t="str">
        <x:v>通信设备</x:v>
      </x:c>
      <x:c r="E26" s="46" t="n">
        <x:v>60.0458</x:v>
      </x:c>
      <x:c r="F26" s="46" t="n">
        <x:v>76.644</x:v>
      </x:c>
      <x:c r="G26" s="46" t="n">
        <x:v>52.9412</x:v>
      </x:c>
      <x:c r="H26" s="46" t="n">
        <x:v>50</x:v>
      </x:c>
      <x:c r="I26" s="46" t="n">
        <x:v>80.4161</x:v>
      </x:c>
      <x:c r="J26" s="46" t="n">
        <x:v>37.2473</x:v>
      </x:c>
      <x:c r="K26" s="40" t="str">
        <x:v>是</x:v>
      </x:c>
      <x:c r="L26" s="40" t="str">
        <x:v>否</x:v>
      </x:c>
    </x:row>
    <x:row r="27">
      <x:c r="A27" s="40" t="n">
        <x:v>23</x:v>
      </x:c>
      <x:c r="B27" s="43" t="str">
        <x:v>600521</x:v>
      </x:c>
      <x:c r="C27" s="40" t="str">
        <x:v>华海药业</x:v>
      </x:c>
      <x:c r="D27" s="40" t="str">
        <x:v>化学制药</x:v>
      </x:c>
      <x:c r="E27" s="46" t="n">
        <x:v>59.9619</x:v>
      </x:c>
      <x:c r="F27" s="46" t="n">
        <x:v>79.4257</x:v>
      </x:c>
      <x:c r="G27" s="46" t="n">
        <x:v>38.4408</x:v>
      </x:c>
      <x:c r="H27" s="46" t="n">
        <x:v>50</x:v>
      </x:c>
      <x:c r="I27" s="46" t="n">
        <x:v>86.3565</x:v>
      </x:c>
      <x:c r="J27" s="46" t="n">
        <x:v>50.2785</x:v>
      </x:c>
      <x:c r="K27" s="40" t="str">
        <x:v>是</x:v>
      </x:c>
      <x:c r="L27" s="40" t="str">
        <x:v>否</x:v>
      </x:c>
    </x:row>
    <x:row r="28">
      <x:c r="A28" s="40" t="n">
        <x:v>24</x:v>
      </x:c>
      <x:c r="B28" s="43" t="str">
        <x:v>002828</x:v>
      </x:c>
      <x:c r="C28" s="40" t="str">
        <x:v>贝肯能源</x:v>
      </x:c>
      <x:c r="D28" s="40" t="str">
        <x:v>石油开采</x:v>
      </x:c>
      <x:c r="E28" s="46" t="n">
        <x:v>59.8713</x:v>
      </x:c>
      <x:c r="F28" s="46" t="n">
        <x:v>69.8062</x:v>
      </x:c>
      <x:c r="G28" s="46" t="n">
        <x:v>46.1846</x:v>
      </x:c>
      <x:c r="H28" s="46" t="n">
        <x:v>50</x:v>
      </x:c>
      <x:c r="I28" s="46" t="n">
        <x:v>100</x:v>
      </x:c>
      <x:c r="J28" s="46" t="n">
        <x:v>39.1573</x:v>
      </x:c>
      <x:c r="K28" s="40" t="str">
        <x:v>是</x:v>
      </x:c>
      <x:c r="L28" s="40" t="str">
        <x:v>否</x:v>
      </x:c>
    </x:row>
    <x:row r="29">
      <x:c r="A29" s="40" t="n">
        <x:v>25</x:v>
      </x:c>
      <x:c r="B29" s="43" t="str">
        <x:v>300684</x:v>
      </x:c>
      <x:c r="C29" s="40" t="str">
        <x:v>中石科技</x:v>
      </x:c>
      <x:c r="D29" s="40" t="str">
        <x:v>元器件</x:v>
      </x:c>
      <x:c r="E29" s="46" t="n">
        <x:v>59.8671</x:v>
      </x:c>
      <x:c r="F29" s="46" t="n">
        <x:v>72.3767</x:v>
      </x:c>
      <x:c r="G29" s="46" t="n">
        <x:v>52.9412</x:v>
      </x:c>
      <x:c r="H29" s="46" t="n">
        <x:v>50</x:v>
      </x:c>
      <x:c r="I29" s="46" t="n">
        <x:v>100</x:v>
      </x:c>
      <x:c r="J29" s="46" t="n">
        <x:v>23.5839</x:v>
      </x:c>
      <x:c r="K29" s="40" t="str">
        <x:v>是</x:v>
      </x:c>
      <x:c r="L29" s="40" t="str">
        <x:v>否</x:v>
      </x:c>
    </x:row>
    <x:row r="30">
      <x:c r="A30" s="40" t="n">
        <x:v>26</x:v>
      </x:c>
      <x:c r="B30" s="43" t="str">
        <x:v>688385</x:v>
      </x:c>
      <x:c r="C30" s="40" t="str">
        <x:v>复旦微电</x:v>
      </x:c>
      <x:c r="D30" s="40" t="str">
        <x:v>半导体</x:v>
      </x:c>
      <x:c r="E30" s="46" t="n">
        <x:v>59.8548</x:v>
      </x:c>
      <x:c r="F30" s="46" t="n">
        <x:v>68.6679</x:v>
      </x:c>
      <x:c r="G30" s="46" t="n">
        <x:v>52.9412</x:v>
      </x:c>
      <x:c r="H30" s="46" t="n">
        <x:v>50</x:v>
      </x:c>
      <x:c r="I30" s="46" t="n">
        <x:v>87.0502</x:v>
      </x:c>
      <x:c r="J30" s="46" t="n">
        <x:v>42.6334</x:v>
      </x:c>
      <x:c r="K30" s="40" t="str">
        <x:v>是</x:v>
      </x:c>
      <x:c r="L30" s="40" t="str">
        <x:v>否</x:v>
      </x:c>
    </x:row>
    <x:row r="31">
      <x:c r="A31" s="40" t="n">
        <x:v>27</x:v>
      </x:c>
      <x:c r="B31" s="43" t="str">
        <x:v>300363</x:v>
      </x:c>
      <x:c r="C31" s="40" t="str">
        <x:v>博腾股份</x:v>
      </x:c>
      <x:c r="D31" s="40" t="str">
        <x:v>化学制药</x:v>
      </x:c>
      <x:c r="E31" s="46" t="n">
        <x:v>59.8538</x:v>
      </x:c>
      <x:c r="F31" s="46" t="n">
        <x:v>67.4759</x:v>
      </x:c>
      <x:c r="G31" s="46" t="n">
        <x:v>52.9412</x:v>
      </x:c>
      <x:c r="H31" s="46" t="n">
        <x:v>50</x:v>
      </x:c>
      <x:c r="I31" s="46" t="n">
        <x:v>90.9823</x:v>
      </x:c>
      <x:c r="J31" s="46" t="n">
        <x:v>40.6814</x:v>
      </x:c>
      <x:c r="K31" s="40" t="str">
        <x:v>是</x:v>
      </x:c>
      <x:c r="L31" s="40" t="str">
        <x:v>否</x:v>
      </x:c>
    </x:row>
    <x:row r="32">
      <x:c r="A32" s="40" t="n">
        <x:v>28</x:v>
      </x:c>
      <x:c r="B32" s="43" t="str">
        <x:v>002739</x:v>
      </x:c>
      <x:c r="C32" s="40" t="str">
        <x:v>儒意电影</x:v>
      </x:c>
      <x:c r="D32" s="40" t="str">
        <x:v>影视音像</x:v>
      </x:c>
      <x:c r="E32" s="46" t="n">
        <x:v>59.8468</x:v>
      </x:c>
      <x:c r="F32" s="46" t="n">
        <x:v>68.3137</x:v>
      </x:c>
      <x:c r="G32" s="46" t="n">
        <x:v>52.9412</x:v>
      </x:c>
      <x:c r="H32" s="46" t="n">
        <x:v>50</x:v>
      </x:c>
      <x:c r="I32" s="46" t="n">
        <x:v>83.6119</x:v>
      </x:c>
      <x:c r="J32" s="46" t="n">
        <x:v>46.6084</x:v>
      </x:c>
      <x:c r="K32" s="40" t="str">
        <x:v>是</x:v>
      </x:c>
      <x:c r="L32" s="40" t="str">
        <x:v>否</x:v>
      </x:c>
    </x:row>
    <x:row r="33">
      <x:c r="A33" s="40" t="n">
        <x:v>29</x:v>
      </x:c>
      <x:c r="B33" s="43" t="str">
        <x:v>300105</x:v>
      </x:c>
      <x:c r="C33" s="40" t="str">
        <x:v>龙源技术</x:v>
      </x:c>
      <x:c r="D33" s="40" t="str">
        <x:v>环境保护</x:v>
      </x:c>
      <x:c r="E33" s="46" t="n">
        <x:v>59.8163</x:v>
      </x:c>
      <x:c r="F33" s="46" t="n">
        <x:v>73.0107</x:v>
      </x:c>
      <x:c r="G33" s="46" t="n">
        <x:v>52.9412</x:v>
      </x:c>
      <x:c r="H33" s="46" t="n">
        <x:v>50</x:v>
      </x:c>
      <x:c r="I33" s="46" t="n">
        <x:v>96.4425</x:v>
      </x:c>
      <x:c r="J33" s="46" t="n">
        <x:v>25.7463</x:v>
      </x:c>
      <x:c r="K33" s="40" t="str">
        <x:v>是</x:v>
      </x:c>
      <x:c r="L33" s="40" t="str">
        <x:v>否</x:v>
      </x:c>
    </x:row>
    <x:row r="34">
      <x:c r="A34" s="40" t="n">
        <x:v>30</x:v>
      </x:c>
      <x:c r="B34" s="43" t="str">
        <x:v>002396</x:v>
      </x:c>
      <x:c r="C34" s="40" t="str">
        <x:v>星网锐捷</x:v>
      </x:c>
      <x:c r="D34" s="40" t="str">
        <x:v>通信设备</x:v>
      </x:c>
      <x:c r="E34" s="46" t="n">
        <x:v>59.7681</x:v>
      </x:c>
      <x:c r="F34" s="46" t="n">
        <x:v>71.2458</x:v>
      </x:c>
      <x:c r="G34" s="46" t="n">
        <x:v>52.9412</x:v>
      </x:c>
      <x:c r="H34" s="46" t="n">
        <x:v>50</x:v>
      </x:c>
      <x:c r="I34" s="46" t="n">
        <x:v>100</x:v>
      </x:c>
      <x:c r="J34" s="46" t="n">
        <x:v>24.8092</x:v>
      </x:c>
      <x:c r="K34" s="40" t="str">
        <x:v>是</x:v>
      </x:c>
      <x:c r="L34" s="40" t="str">
        <x:v>否</x:v>
      </x:c>
    </x:row>
    <x:row r="35">
      <x:c r="A35" s="40" t="n">
        <x:v>31</x:v>
      </x:c>
      <x:c r="B35" s="43" t="str">
        <x:v>001287</x:v>
      </x:c>
      <x:c r="C35" s="40" t="str">
        <x:v>中电港</x:v>
      </x:c>
      <x:c r="D35" s="40" t="str">
        <x:v>元器件</x:v>
      </x:c>
      <x:c r="E35" s="46" t="n">
        <x:v>59.6985</x:v>
      </x:c>
      <x:c r="F35" s="46" t="n">
        <x:v>71.8516</x:v>
      </x:c>
      <x:c r="G35" s="46" t="n">
        <x:v>52.9412</x:v>
      </x:c>
      <x:c r="H35" s="46" t="n">
        <x:v>50</x:v>
      </x:c>
      <x:c r="I35" s="46" t="n">
        <x:v>85.9667</x:v>
      </x:c>
      <x:c r="J35" s="46" t="n">
        <x:v>37.3689</x:v>
      </x:c>
      <x:c r="K35" s="40" t="str">
        <x:v>是</x:v>
      </x:c>
      <x:c r="L35" s="40" t="str">
        <x:v>否</x:v>
      </x:c>
    </x:row>
    <x:row r="36">
      <x:c r="A36" s="40" t="n">
        <x:v>32</x:v>
      </x:c>
      <x:c r="B36" s="43" t="str">
        <x:v>603339</x:v>
      </x:c>
      <x:c r="C36" s="40" t="str">
        <x:v>四方科技</x:v>
      </x:c>
      <x:c r="D36" s="40" t="str">
        <x:v>专用机械</x:v>
      </x:c>
      <x:c r="E36" s="46" t="n">
        <x:v>59.6652</x:v>
      </x:c>
      <x:c r="F36" s="46" t="n">
        <x:v>77.8976</x:v>
      </x:c>
      <x:c r="G36" s="46" t="n">
        <x:v>39.6887</x:v>
      </x:c>
      <x:c r="H36" s="46" t="n">
        <x:v>50</x:v>
      </x:c>
      <x:c r="I36" s="46" t="n">
        <x:v>100</x:v>
      </x:c>
      <x:c r="J36" s="46" t="n">
        <x:v>35.1241</x:v>
      </x:c>
      <x:c r="K36" s="40" t="str">
        <x:v>是</x:v>
      </x:c>
      <x:c r="L36" s="40" t="str">
        <x:v>否</x:v>
      </x:c>
    </x:row>
    <x:row r="37">
      <x:c r="A37" s="40" t="n">
        <x:v>33</x:v>
      </x:c>
      <x:c r="B37" s="43" t="str">
        <x:v>600584</x:v>
      </x:c>
      <x:c r="C37" s="40" t="str">
        <x:v>长电科技</x:v>
      </x:c>
      <x:c r="D37" s="40" t="str">
        <x:v>半导体</x:v>
      </x:c>
      <x:c r="E37" s="46" t="n">
        <x:v>59.5437</x:v>
      </x:c>
      <x:c r="F37" s="46" t="n">
        <x:v>74.3214</x:v>
      </x:c>
      <x:c r="G37" s="46" t="n">
        <x:v>52.9412</x:v>
      </x:c>
      <x:c r="H37" s="46" t="n">
        <x:v>50</x:v>
      </x:c>
      <x:c r="I37" s="46" t="n">
        <x:v>97.7698</x:v>
      </x:c>
      <x:c r="J37" s="46" t="n">
        <x:v>20.4171</x:v>
      </x:c>
      <x:c r="K37" s="40" t="str">
        <x:v>是</x:v>
      </x:c>
      <x:c r="L37" s="40" t="str">
        <x:v>否</x:v>
      </x:c>
    </x:row>
    <x:row r="38">
      <x:c r="A38" s="40" t="n">
        <x:v>34</x:v>
      </x:c>
      <x:c r="B38" s="43" t="str">
        <x:v>605377</x:v>
      </x:c>
      <x:c r="C38" s="40" t="str">
        <x:v>华旺科技</x:v>
      </x:c>
      <x:c r="D38" s="40" t="str">
        <x:v>造纸</x:v>
      </x:c>
      <x:c r="E38" s="46" t="n">
        <x:v>59.5362</x:v>
      </x:c>
      <x:c r="F38" s="46" t="n">
        <x:v>75.2458</x:v>
      </x:c>
      <x:c r="G38" s="46" t="n">
        <x:v>41.6388</x:v>
      </x:c>
      <x:c r="H38" s="46" t="n">
        <x:v>50</x:v>
      </x:c>
      <x:c r="I38" s="46" t="n">
        <x:v>99.7537</x:v>
      </x:c>
      <x:c r="J38" s="46" t="n">
        <x:v>35.6801</x:v>
      </x:c>
      <x:c r="K38" s="40" t="str">
        <x:v>是</x:v>
      </x:c>
      <x:c r="L38" s="40" t="str">
        <x:v>否</x:v>
      </x:c>
    </x:row>
    <x:row r="39">
      <x:c r="A39" s="40" t="n">
        <x:v>35</x:v>
      </x:c>
      <x:c r="B39" s="43" t="str">
        <x:v>688981</x:v>
      </x:c>
      <x:c r="C39" s="40" t="str">
        <x:v>中芯国际</x:v>
      </x:c>
      <x:c r="D39" s="40" t="str">
        <x:v>半导体</x:v>
      </x:c>
      <x:c r="E39" s="46" t="n">
        <x:v>59.4071</x:v>
      </x:c>
      <x:c r="F39" s="46" t="n">
        <x:v>74.893</x:v>
      </x:c>
      <x:c r="G39" s="46" t="n">
        <x:v>45.0635</x:v>
      </x:c>
      <x:c r="H39" s="46" t="n">
        <x:v>50</x:v>
      </x:c>
      <x:c r="I39" s="46" t="n">
        <x:v>100</x:v>
      </x:c>
      <x:c r="J39" s="46" t="n">
        <x:v>29.4532</x:v>
      </x:c>
      <x:c r="K39" s="40" t="str">
        <x:v>是</x:v>
      </x:c>
      <x:c r="L39" s="40" t="str">
        <x:v>是</x:v>
      </x:c>
    </x:row>
    <x:row r="40">
      <x:c r="A40" s="40" t="n">
        <x:v>36</x:v>
      </x:c>
      <x:c r="B40" s="43" t="str">
        <x:v>600756</x:v>
      </x:c>
      <x:c r="C40" s="40" t="str">
        <x:v>浪潮软件</x:v>
      </x:c>
      <x:c r="D40" s="40" t="str">
        <x:v>软件服务</x:v>
      </x:c>
      <x:c r="E40" s="46" t="n">
        <x:v>59.2467</x:v>
      </x:c>
      <x:c r="F40" s="46" t="n">
        <x:v>76.2394</x:v>
      </x:c>
      <x:c r="G40" s="46" t="n">
        <x:v>52.9412</x:v>
      </x:c>
      <x:c r="H40" s="46" t="n">
        <x:v>50</x:v>
      </x:c>
      <x:c r="I40" s="46" t="n">
        <x:v>78.4628</x:v>
      </x:c>
      <x:c r="J40" s="46" t="n">
        <x:v>34.5475</x:v>
      </x:c>
      <x:c r="K40" s="40" t="str">
        <x:v>是</x:v>
      </x:c>
      <x:c r="L40" s="40" t="str">
        <x:v>否</x:v>
      </x:c>
    </x:row>
    <x:row r="41">
      <x:c r="A41" s="40" t="n">
        <x:v>37</x:v>
      </x:c>
      <x:c r="B41" s="43" t="str">
        <x:v>300454</x:v>
      </x:c>
      <x:c r="C41" s="40" t="str">
        <x:v>深信服</x:v>
      </x:c>
      <x:c r="D41" s="40" t="str">
        <x:v>软件服务</x:v>
      </x:c>
      <x:c r="E41" s="46" t="n">
        <x:v>59.2309</x:v>
      </x:c>
      <x:c r="F41" s="46" t="n">
        <x:v>76.7353</x:v>
      </x:c>
      <x:c r="G41" s="46" t="n">
        <x:v>52.9412</x:v>
      </x:c>
      <x:c r="H41" s="46" t="n">
        <x:v>50</x:v>
      </x:c>
      <x:c r="I41" s="46" t="n">
        <x:v>88.5102</x:v>
      </x:c>
      <x:c r="J41" s="46" t="n">
        <x:v>23.568</x:v>
      </x:c>
      <x:c r="K41" s="40" t="str">
        <x:v>是</x:v>
      </x:c>
      <x:c r="L41" s="40" t="str">
        <x:v>否</x:v>
      </x:c>
    </x:row>
    <x:row r="42">
      <x:c r="A42" s="40" t="n">
        <x:v>38</x:v>
      </x:c>
      <x:c r="B42" s="43" t="str">
        <x:v>300251</x:v>
      </x:c>
      <x:c r="C42" s="40" t="str">
        <x:v>光线传媒</x:v>
      </x:c>
      <x:c r="D42" s="40" t="str">
        <x:v>影视音像</x:v>
      </x:c>
      <x:c r="E42" s="46" t="n">
        <x:v>59.2086</x:v>
      </x:c>
      <x:c r="F42" s="46" t="n">
        <x:v>79.2087</x:v>
      </x:c>
      <x:c r="G42" s="46" t="n">
        <x:v>40.0472</x:v>
      </x:c>
      <x:c r="H42" s="46" t="n">
        <x:v>50</x:v>
      </x:c>
      <x:c r="I42" s="46" t="n">
        <x:v>82.7781</x:v>
      </x:c>
      <x:c r="J42" s="46" t="n">
        <x:v>46.5195</x:v>
      </x:c>
      <x:c r="K42" s="40" t="str">
        <x:v>是</x:v>
      </x:c>
      <x:c r="L42" s="40" t="str">
        <x:v>否</x:v>
      </x:c>
    </x:row>
    <x:row r="43">
      <x:c r="A43" s="40" t="n">
        <x:v>39</x:v>
      </x:c>
      <x:c r="B43" s="43" t="str">
        <x:v>688036</x:v>
      </x:c>
      <x:c r="C43" s="40" t="str">
        <x:v>传音控股</x:v>
      </x:c>
      <x:c r="D43" s="40" t="str">
        <x:v>通信设备</x:v>
      </x:c>
      <x:c r="E43" s="46" t="n">
        <x:v>59.1708</x:v>
      </x:c>
      <x:c r="F43" s="46" t="n">
        <x:v>73.3403</x:v>
      </x:c>
      <x:c r="G43" s="46" t="n">
        <x:v>36.5852</x:v>
      </x:c>
      <x:c r="H43" s="46" t="n">
        <x:v>50</x:v>
      </x:c>
      <x:c r="I43" s="46" t="n">
        <x:v>100</x:v>
      </x:c>
      <x:c r="J43" s="46" t="n">
        <x:v>44.5961</x:v>
      </x:c>
      <x:c r="K43" s="40" t="str">
        <x:v>是</x:v>
      </x:c>
      <x:c r="L43" s="40" t="str">
        <x:v>否</x:v>
      </x:c>
    </x:row>
    <x:row r="44">
      <x:c r="A44" s="40" t="n">
        <x:v>40</x:v>
      </x:c>
      <x:c r="B44" s="43" t="str">
        <x:v>002791</x:v>
      </x:c>
      <x:c r="C44" s="40" t="str">
        <x:v>坚朗五金</x:v>
      </x:c>
      <x:c r="D44" s="40" t="str">
        <x:v>其他建材</x:v>
      </x:c>
      <x:c r="E44" s="46" t="n">
        <x:v>58.9745</x:v>
      </x:c>
      <x:c r="F44" s="46" t="n">
        <x:v>81.0564</x:v>
      </x:c>
      <x:c r="G44" s="46" t="n">
        <x:v>42.6258</x:v>
      </x:c>
      <x:c r="H44" s="46" t="n">
        <x:v>50</x:v>
      </x:c>
      <x:c r="I44" s="46" t="n">
        <x:v>76.368</x:v>
      </x:c>
      <x:c r="J44" s="46" t="n">
        <x:v>43.9916</x:v>
      </x:c>
      <x:c r="K44" s="40" t="str">
        <x:v>是</x:v>
      </x:c>
      <x:c r="L44" s="40" t="str">
        <x:v>否</x:v>
      </x:c>
    </x:row>
    <x:row r="45">
      <x:c r="A45" s="40" t="n">
        <x:v>41</x:v>
      </x:c>
      <x:c r="B45" s="43" t="str">
        <x:v>688202</x:v>
      </x:c>
      <x:c r="C45" s="40" t="str">
        <x:v>美迪西</x:v>
      </x:c>
      <x:c r="D45" s="40" t="str">
        <x:v>医疗保健</x:v>
      </x:c>
      <x:c r="E45" s="46" t="n">
        <x:v>58.8871</x:v>
      </x:c>
      <x:c r="F45" s="46" t="n">
        <x:v>63.0996</x:v>
      </x:c>
      <x:c r="G45" s="46" t="n">
        <x:v>52.9412</x:v>
      </x:c>
      <x:c r="H45" s="46" t="n">
        <x:v>50</x:v>
      </x:c>
      <x:c r="I45" s="46" t="n">
        <x:v>96.484</x:v>
      </x:c>
      <x:c r="J45" s="46" t="n">
        <x:v>36.0285</x:v>
      </x:c>
      <x:c r="K45" s="40" t="str">
        <x:v>是</x:v>
      </x:c>
      <x:c r="L45" s="40" t="str">
        <x:v>否</x:v>
      </x:c>
    </x:row>
    <x:row r="46">
      <x:c r="A46" s="40" t="n">
        <x:v>42</x:v>
      </x:c>
      <x:c r="B46" s="43" t="str">
        <x:v>300990</x:v>
      </x:c>
      <x:c r="C46" s="40" t="str">
        <x:v>同飞股份</x:v>
      </x:c>
      <x:c r="D46" s="40" t="str">
        <x:v>专用机械</x:v>
      </x:c>
      <x:c r="E46" s="46" t="n">
        <x:v>58.7637</x:v>
      </x:c>
      <x:c r="F46" s="46" t="n">
        <x:v>71.5197</x:v>
      </x:c>
      <x:c r="G46" s="46" t="n">
        <x:v>52.9412</x:v>
      </x:c>
      <x:c r="H46" s="46" t="n">
        <x:v>50</x:v>
      </x:c>
      <x:c r="I46" s="46" t="n">
        <x:v>90.7933</x:v>
      </x:c>
      <x:c r="J46" s="46" t="n">
        <x:v>26.8634</x:v>
      </x:c>
      <x:c r="K46" s="40" t="str">
        <x:v>是</x:v>
      </x:c>
      <x:c r="L46" s="40" t="str">
        <x:v>否</x:v>
      </x:c>
    </x:row>
    <x:row r="47">
      <x:c r="A47" s="40" t="n">
        <x:v>43</x:v>
      </x:c>
      <x:c r="B47" s="43" t="str">
        <x:v>300604</x:v>
      </x:c>
      <x:c r="C47" s="40" t="str">
        <x:v>长川科技</x:v>
      </x:c>
      <x:c r="D47" s="40" t="str">
        <x:v>半导体</x:v>
      </x:c>
      <x:c r="E47" s="46" t="n">
        <x:v>58.7417</x:v>
      </x:c>
      <x:c r="F47" s="46" t="n">
        <x:v>67.3827</x:v>
      </x:c>
      <x:c r="G47" s="46" t="n">
        <x:v>52.6405</x:v>
      </x:c>
      <x:c r="H47" s="46" t="n">
        <x:v>50</x:v>
      </x:c>
      <x:c r="I47" s="46" t="n">
        <x:v>100</x:v>
      </x:c>
      <x:c r="J47" s="46" t="n">
        <x:v>24.9061</x:v>
      </x:c>
      <x:c r="K47" s="40" t="str">
        <x:v>是</x:v>
      </x:c>
      <x:c r="L47" s="40" t="str">
        <x:v>是</x:v>
      </x:c>
    </x:row>
    <x:row r="48">
      <x:c r="A48" s="40" t="n">
        <x:v>44</x:v>
      </x:c>
      <x:c r="B48" s="43" t="str">
        <x:v>002303</x:v>
      </x:c>
      <x:c r="C48" s="40" t="str">
        <x:v>美盈森</x:v>
      </x:c>
      <x:c r="D48" s="40" t="str">
        <x:v>造纸</x:v>
      </x:c>
      <x:c r="E48" s="46" t="n">
        <x:v>58.7381</x:v>
      </x:c>
      <x:c r="F48" s="46" t="n">
        <x:v>69.268</x:v>
      </x:c>
      <x:c r="G48" s="46" t="n">
        <x:v>52.9412</x:v>
      </x:c>
      <x:c r="H48" s="46" t="n">
        <x:v>50</x:v>
      </x:c>
      <x:c r="I48" s="46" t="n">
        <x:v>80.0464</x:v>
      </x:c>
      <x:c r="J48" s="46" t="n">
        <x:v>41.1923</x:v>
      </x:c>
      <x:c r="K48" s="40" t="str">
        <x:v>是</x:v>
      </x:c>
      <x:c r="L48" s="40" t="str">
        <x:v>否</x:v>
      </x:c>
    </x:row>
    <x:row r="49">
      <x:c r="A49" s="40" t="n">
        <x:v>45</x:v>
      </x:c>
      <x:c r="B49" s="43" t="str">
        <x:v>301516</x:v>
      </x:c>
      <x:c r="C49" s="40" t="str">
        <x:v>中远通</x:v>
      </x:c>
      <x:c r="D49" s="40" t="str">
        <x:v>电气设备</x:v>
      </x:c>
      <x:c r="E49" s="46" t="n">
        <x:v>58.7115</x:v>
      </x:c>
      <x:c r="F49" s="46" t="n">
        <x:v>69.911</x:v>
      </x:c>
      <x:c r="G49" s="46" t="n">
        <x:v>51.4635</x:v>
      </x:c>
      <x:c r="H49" s="46" t="n">
        <x:v>50</x:v>
      </x:c>
      <x:c r="I49" s="46" t="n">
        <x:v>100</x:v>
      </x:c>
      <x:c r="J49" s="46" t="n">
        <x:v>22.4522</x:v>
      </x:c>
      <x:c r="K49" s="40" t="str">
        <x:v>是</x:v>
      </x:c>
      <x:c r="L49" s="40" t="str">
        <x:v>否</x:v>
      </x:c>
    </x:row>
    <x:row r="50">
      <x:c r="A50" s="40" t="n">
        <x:v>46</x:v>
      </x:c>
      <x:c r="B50" s="43" t="str">
        <x:v>001365</x:v>
      </x:c>
      <x:c r="C50" s="40" t="str">
        <x:v>天海电子</x:v>
      </x:c>
      <x:c r="D50" s="40" t="str">
        <x:v>汽车配件</x:v>
      </x:c>
      <x:c r="E50" s="46" t="n">
        <x:v>58.6866</x:v>
      </x:c>
      <x:c r="F50" s="46" t="n">
        <x:v>75.7582</x:v>
      </x:c>
      <x:c r="G50" s="46" t="n">
        <x:v>48.4194</x:v>
      </x:c>
      <x:c r="H50" s="46" t="n">
        <x:v>50</x:v>
      </x:c>
      <x:c r="I50" s="46" t="n">
        <x:v>100</x:v>
      </x:c>
      <x:c r="J50" s="46" t="n">
        <x:v>17.6145</x:v>
      </x:c>
      <x:c r="K50" s="40" t="str">
        <x:v>是</x:v>
      </x:c>
      <x:c r="L50" s="40" t="str">
        <x:v>否</x:v>
      </x:c>
    </x:row>
    <x:row r="51">
      <x:c r="A51" s="40" t="n">
        <x:v>47</x:v>
      </x:c>
      <x:c r="B51" s="43" t="str">
        <x:v>600120</x:v>
      </x:c>
      <x:c r="C51" s="40" t="str">
        <x:v>浙江东方</x:v>
      </x:c>
      <x:c r="D51" s="40" t="str">
        <x:v>多元金融</x:v>
      </x:c>
      <x:c r="E51" s="46" t="n">
        <x:v>58.5442</x:v>
      </x:c>
      <x:c r="F51" s="46" t="n">
        <x:v>85.8674</x:v>
      </x:c>
      <x:c r="G51" s="46" t="n">
        <x:v>34.3745</x:v>
      </x:c>
      <x:c r="H51" s="46" t="n">
        <x:v>50</x:v>
      </x:c>
      <x:c r="I51" s="46" t="n">
        <x:v>78.7541</x:v>
      </x:c>
      <x:c r="J51" s="46" t="n">
        <x:v>44.4707</x:v>
      </x:c>
      <x:c r="K51" s="40" t="str">
        <x:v>是</x:v>
      </x:c>
      <x:c r="L51" s="40" t="str">
        <x:v>否</x:v>
      </x:c>
    </x:row>
    <x:row r="52">
      <x:c r="A52" s="40" t="n">
        <x:v>48</x:v>
      </x:c>
      <x:c r="B52" s="43" t="str">
        <x:v>603087</x:v>
      </x:c>
      <x:c r="C52" s="40" t="str">
        <x:v>甘李药业</x:v>
      </x:c>
      <x:c r="D52" s="40" t="str">
        <x:v>生物制药</x:v>
      </x:c>
      <x:c r="E52" s="46" t="n">
        <x:v>58.4787</x:v>
      </x:c>
      <x:c r="F52" s="46" t="n">
        <x:v>79.5808</x:v>
      </x:c>
      <x:c r="G52" s="46" t="n">
        <x:v>37.6382</x:v>
      </x:c>
      <x:c r="H52" s="46" t="n">
        <x:v>50</x:v>
      </x:c>
      <x:c r="I52" s="46" t="n">
        <x:v>85.0558</x:v>
      </x:c>
      <x:c r="J52" s="46" t="n">
        <x:v>42.7707</x:v>
      </x:c>
      <x:c r="K52" s="40" t="str">
        <x:v>是</x:v>
      </x:c>
      <x:c r="L52" s="40" t="str">
        <x:v>否</x:v>
      </x:c>
    </x:row>
    <x:row r="53">
      <x:c r="A53" s="40" t="n">
        <x:v>49</x:v>
      </x:c>
      <x:c r="B53" s="43" t="str">
        <x:v>920275</x:v>
      </x:c>
      <x:c r="C53" s="40" t="str">
        <x:v>驱动力</x:v>
      </x:c>
      <x:c r="D53" s="40" t="str">
        <x:v>农业综合</x:v>
      </x:c>
      <x:c r="E53" s="46" t="n">
        <x:v>58.2971</x:v>
      </x:c>
      <x:c r="F53" s="46" t="n">
        <x:v>73.6807</x:v>
      </x:c>
      <x:c r="G53" s="46" t="n">
        <x:v>37.5</x:v>
      </x:c>
      <x:c r="H53" s="46" t="n">
        <x:v>50</x:v>
      </x:c>
      <x:c r="I53" s="46" t="n">
        <x:v>96.1604</x:v>
      </x:c>
      <x:c r="J53" s="46" t="n">
        <x:v>40.5193</x:v>
      </x:c>
      <x:c r="K53" s="40" t="str">
        <x:v>是</x:v>
      </x:c>
      <x:c r="L53" s="40" t="str">
        <x:v>否</x:v>
      </x:c>
    </x:row>
    <x:row r="54">
      <x:c r="A54" s="40" t="n">
        <x:v>50</x:v>
      </x:c>
      <x:c r="B54" s="43" t="str">
        <x:v>002317</x:v>
      </x:c>
      <x:c r="C54" s="40" t="str">
        <x:v>众生药业</x:v>
      </x:c>
      <x:c r="D54" s="40" t="str">
        <x:v>中成药</x:v>
      </x:c>
      <x:c r="E54" s="46" t="n">
        <x:v>58.1051</x:v>
      </x:c>
      <x:c r="F54" s="46" t="n">
        <x:v>69.4397</x:v>
      </x:c>
      <x:c r="G54" s="46" t="n">
        <x:v>52.9412</x:v>
      </x:c>
      <x:c r="H54" s="46" t="n">
        <x:v>50</x:v>
      </x:c>
      <x:c r="I54" s="46" t="n">
        <x:v>86.9593</x:v>
      </x:c>
      <x:c r="J54" s="46" t="n">
        <x:v>29.773</x:v>
      </x:c>
      <x:c r="K54" s="40" t="str">
        <x:v>是</x:v>
      </x:c>
      <x:c r="L54" s="40" t="str">
        <x:v>否</x:v>
      </x:c>
    </x:row>
    <x:row r="55">
      <x:c r="A55" s="40" t="n">
        <x:v>51</x:v>
      </x:c>
      <x:c r="B55" s="43" t="str">
        <x:v>600879</x:v>
      </x:c>
      <x:c r="C55" s="40" t="str">
        <x:v>航天电子</x:v>
      </x:c>
      <x:c r="D55" s="40" t="str">
        <x:v>航空</x:v>
      </x:c>
      <x:c r="E55" s="46" t="n">
        <x:v>57.9926</x:v>
      </x:c>
      <x:c r="F55" s="46" t="n">
        <x:v>74.9066</x:v>
      </x:c>
      <x:c r="G55" s="46" t="n">
        <x:v>52.7638</x:v>
      </x:c>
      <x:c r="H55" s="46" t="n">
        <x:v>50</x:v>
      </x:c>
      <x:c r="I55" s="46" t="n">
        <x:v>68.4961</x:v>
      </x:c>
      <x:c r="J55" s="46" t="n">
        <x:v>38.6706</x:v>
      </x:c>
      <x:c r="K55" s="40" t="str">
        <x:v>是</x:v>
      </x:c>
      <x:c r="L55" s="40" t="str">
        <x:v>否</x:v>
      </x:c>
    </x:row>
    <x:row r="56">
      <x:c r="A56" s="40" t="n">
        <x:v>52</x:v>
      </x:c>
      <x:c r="B56" s="43" t="str">
        <x:v>000779</x:v>
      </x:c>
      <x:c r="C56" s="40" t="str">
        <x:v>甘咨询</x:v>
      </x:c>
      <x:c r="D56" s="40" t="str">
        <x:v>建筑工程</x:v>
      </x:c>
      <x:c r="E56" s="46" t="n">
        <x:v>57.8385</x:v>
      </x:c>
      <x:c r="F56" s="46" t="n">
        <x:v>68.2057</x:v>
      </x:c>
      <x:c r="G56" s="46" t="n">
        <x:v>27.9412</x:v>
      </x:c>
      <x:c r="H56" s="46" t="n">
        <x:v>50</x:v>
      </x:c>
      <x:c r="I56" s="46" t="n">
        <x:v>100</x:v>
      </x:c>
      <x:c r="J56" s="46" t="n">
        <x:v>58.6784</x:v>
      </x:c>
      <x:c r="K56" s="40" t="str">
        <x:v>是</x:v>
      </x:c>
      <x:c r="L56" s="40" t="str">
        <x:v>否</x:v>
      </x:c>
    </x:row>
    <x:row r="57">
      <x:c r="A57" s="40" t="n">
        <x:v>53</x:v>
      </x:c>
      <x:c r="B57" s="43" t="str">
        <x:v>300588</x:v>
      </x:c>
      <x:c r="C57" s="40" t="str">
        <x:v>熙菱信息</x:v>
      </x:c>
      <x:c r="D57" s="40" t="str">
        <x:v>IT设备</x:v>
      </x:c>
      <x:c r="E57" s="46" t="n">
        <x:v>57.8269</x:v>
      </x:c>
      <x:c r="F57" s="46" t="n">
        <x:v>70.8797</x:v>
      </x:c>
      <x:c r="G57" s="46" t="n">
        <x:v>52.9412</x:v>
      </x:c>
      <x:c r="H57" s="46" t="n">
        <x:v>50</x:v>
      </x:c>
      <x:c r="I57" s="46" t="n">
        <x:v>100</x:v>
      </x:c>
      <x:c r="J57" s="46" t="n">
        <x:v>12.478</x:v>
      </x:c>
      <x:c r="K57" s="40" t="str">
        <x:v>是</x:v>
      </x:c>
      <x:c r="L57" s="40" t="str">
        <x:v>否</x:v>
      </x:c>
    </x:row>
    <x:row r="58">
      <x:c r="A58" s="40" t="n">
        <x:v>54</x:v>
      </x:c>
      <x:c r="B58" s="43" t="str">
        <x:v>603341</x:v>
      </x:c>
      <x:c r="C58" s="40" t="str">
        <x:v>龙旗科技</x:v>
      </x:c>
      <x:c r="D58" s="40" t="str">
        <x:v>通信设备</x:v>
      </x:c>
      <x:c r="E58" s="46" t="n">
        <x:v>57.8172</x:v>
      </x:c>
      <x:c r="F58" s="46" t="n">
        <x:v>68.5612</x:v>
      </x:c>
      <x:c r="G58" s="46" t="n">
        <x:v>47.4865</x:v>
      </x:c>
      <x:c r="H58" s="46" t="n">
        <x:v>50</x:v>
      </x:c>
      <x:c r="I58" s="46" t="n">
        <x:v>85.6979</x:v>
      </x:c>
      <x:c r="J58" s="46" t="n">
        <x:v>39.6703</x:v>
      </x:c>
      <x:c r="K58" s="40" t="str">
        <x:v>是</x:v>
      </x:c>
      <x:c r="L58" s="40" t="str">
        <x:v>否</x:v>
      </x:c>
    </x:row>
    <x:row r="59">
      <x:c r="A59" s="40" t="n">
        <x:v>55</x:v>
      </x:c>
      <x:c r="B59" s="43" t="str">
        <x:v>002437</x:v>
      </x:c>
      <x:c r="C59" s="40" t="str">
        <x:v>誉衡药业</x:v>
      </x:c>
      <x:c r="D59" s="40" t="str">
        <x:v>化学制药</x:v>
      </x:c>
      <x:c r="E59" s="46" t="n">
        <x:v>57.7966</x:v>
      </x:c>
      <x:c r="F59" s="46" t="n">
        <x:v>74.4495</x:v>
      </x:c>
      <x:c r="G59" s="46" t="n">
        <x:v>50.5202</x:v>
      </x:c>
      <x:c r="H59" s="46" t="n">
        <x:v>50</x:v>
      </x:c>
      <x:c r="I59" s="46" t="n">
        <x:v>73.8988</x:v>
      </x:c>
      <x:c r="J59" s="46" t="n">
        <x:v>36.4623</x:v>
      </x:c>
      <x:c r="K59" s="40" t="str">
        <x:v>是</x:v>
      </x:c>
      <x:c r="L59" s="40" t="str">
        <x:v>否</x:v>
      </x:c>
    </x:row>
    <x:row r="60">
      <x:c r="A60" s="40" t="n">
        <x:v>56</x:v>
      </x:c>
      <x:c r="B60" s="43" t="str">
        <x:v>688103</x:v>
      </x:c>
      <x:c r="C60" s="40" t="str">
        <x:v>国力电子</x:v>
      </x:c>
      <x:c r="D60" s="40" t="str">
        <x:v>元器件</x:v>
      </x:c>
      <x:c r="E60" s="46" t="n">
        <x:v>57.767</x:v>
      </x:c>
      <x:c r="F60" s="46" t="n">
        <x:v>62.8164</x:v>
      </x:c>
      <x:c r="G60" s="46" t="n">
        <x:v>52.9412</x:v>
      </x:c>
      <x:c r="H60" s="46" t="n">
        <x:v>50</x:v>
      </x:c>
      <x:c r="I60" s="46" t="n">
        <x:v>100</x:v>
      </x:c>
      <x:c r="J60" s="46" t="n">
        <x:v>25.5175</x:v>
      </x:c>
      <x:c r="K60" s="40" t="str">
        <x:v>是</x:v>
      </x:c>
      <x:c r="L60" s="40" t="str">
        <x:v>否</x:v>
      </x:c>
    </x:row>
    <x:row r="61">
      <x:c r="A61" s="40" t="n">
        <x:v>57</x:v>
      </x:c>
      <x:c r="B61" s="43" t="str">
        <x:v>688343</x:v>
      </x:c>
      <x:c r="C61" s="40" t="str">
        <x:v>云天励飞</x:v>
      </x:c>
      <x:c r="D61" s="40" t="str">
        <x:v>软件服务</x:v>
      </x:c>
      <x:c r="E61" s="46" t="n">
        <x:v>57.7289</x:v>
      </x:c>
      <x:c r="F61" s="46" t="n">
        <x:v>70.7619</x:v>
      </x:c>
      <x:c r="G61" s="46" t="n">
        <x:v>50.6455</x:v>
      </x:c>
      <x:c r="H61" s="46" t="n">
        <x:v>50</x:v>
      </x:c>
      <x:c r="I61" s="46" t="n">
        <x:v>80.0701</x:v>
      </x:c>
      <x:c r="J61" s="46" t="n">
        <x:v>35.7769</x:v>
      </x:c>
      <x:c r="K61" s="40" t="str">
        <x:v>是</x:v>
      </x:c>
      <x:c r="L61" s="40" t="str">
        <x:v>是</x:v>
      </x:c>
    </x:row>
    <x:row r="62">
      <x:c r="A62" s="40" t="n">
        <x:v>58</x:v>
      </x:c>
      <x:c r="B62" s="43" t="str">
        <x:v>002174</x:v>
      </x:c>
      <x:c r="C62" s="40" t="str">
        <x:v>游族网络</x:v>
      </x:c>
      <x:c r="D62" s="40" t="str">
        <x:v>互联网</x:v>
      </x:c>
      <x:c r="E62" s="46" t="n">
        <x:v>57.7283</x:v>
      </x:c>
      <x:c r="F62" s="46" t="n">
        <x:v>76.2007</x:v>
      </x:c>
      <x:c r="G62" s="46" t="n">
        <x:v>44.327</x:v>
      </x:c>
      <x:c r="H62" s="46" t="n">
        <x:v>50</x:v>
      </x:c>
      <x:c r="I62" s="46" t="n">
        <x:v>73.9756</x:v>
      </x:c>
      <x:c r="J62" s="46" t="n">
        <x:v>43.3334</x:v>
      </x:c>
      <x:c r="K62" s="40" t="str">
        <x:v>是</x:v>
      </x:c>
      <x:c r="L62" s="40" t="str">
        <x:v>否</x:v>
      </x:c>
    </x:row>
    <x:row r="63">
      <x:c r="A63" s="40" t="n">
        <x:v>59</x:v>
      </x:c>
      <x:c r="B63" s="43" t="str">
        <x:v>301151</x:v>
      </x:c>
      <x:c r="C63" s="40" t="str">
        <x:v>冠龙节能</x:v>
      </x:c>
      <x:c r="D63" s="40" t="str">
        <x:v>机械基件</x:v>
      </x:c>
      <x:c r="E63" s="46" t="n">
        <x:v>57.7226</x:v>
      </x:c>
      <x:c r="F63" s="46" t="n">
        <x:v>72.6722</x:v>
      </x:c>
      <x:c r="G63" s="46" t="n">
        <x:v>52.9412</x:v>
      </x:c>
      <x:c r="H63" s="46" t="n">
        <x:v>50</x:v>
      </x:c>
      <x:c r="I63" s="46" t="n">
        <x:v>93.8826</x:v>
      </x:c>
      <x:c r="J63" s="46" t="n">
        <x:v>14.9124</x:v>
      </x:c>
      <x:c r="K63" s="40" t="str">
        <x:v>是</x:v>
      </x:c>
      <x:c r="L63" s="40" t="str">
        <x:v>是</x:v>
      </x:c>
    </x:row>
    <x:row r="64">
      <x:c r="A64" s="40" t="n">
        <x:v>60</x:v>
      </x:c>
      <x:c r="B64" s="43" t="str">
        <x:v>300528</x:v>
      </x:c>
      <x:c r="C64" s="40" t="str">
        <x:v>幸福蓝海</x:v>
      </x:c>
      <x:c r="D64" s="40" t="str">
        <x:v>影视音像</x:v>
      </x:c>
      <x:c r="E64" s="46" t="n">
        <x:v>57.6218</x:v>
      </x:c>
      <x:c r="F64" s="46" t="n">
        <x:v>73.6026</x:v>
      </x:c>
      <x:c r="G64" s="46" t="n">
        <x:v>50.9572</x:v>
      </x:c>
      <x:c r="H64" s="46" t="n">
        <x:v>50</x:v>
      </x:c>
      <x:c r="I64" s="46" t="n">
        <x:v>79.7691</x:v>
      </x:c>
      <x:c r="J64" s="46" t="n">
        <x:v>30.1102</x:v>
      </x:c>
      <x:c r="K64" s="40" t="str">
        <x:v>是</x:v>
      </x:c>
      <x:c r="L64" s="40" t="str">
        <x:v>否</x:v>
      </x:c>
    </x:row>
    <x:row r="65">
      <x:c r="A65" s="40" t="n">
        <x:v>61</x:v>
      </x:c>
      <x:c r="B65" s="43" t="str">
        <x:v>001298</x:v>
      </x:c>
      <x:c r="C65" s="40" t="str">
        <x:v>好上好</x:v>
      </x:c>
      <x:c r="D65" s="40" t="str">
        <x:v>元器件</x:v>
      </x:c>
      <x:c r="E65" s="46" t="n">
        <x:v>57.6172</x:v>
      </x:c>
      <x:c r="F65" s="46" t="n">
        <x:v>72.4541</x:v>
      </x:c>
      <x:c r="G65" s="46" t="n">
        <x:v>46.7012</x:v>
      </x:c>
      <x:c r="H65" s="46" t="n">
        <x:v>50</x:v>
      </x:c>
      <x:c r="I65" s="46" t="n">
        <x:v>67.7948</x:v>
      </x:c>
      <x:c r="J65" s="46" t="n">
        <x:v>51.0613</x:v>
      </x:c>
      <x:c r="K65" s="40" t="str">
        <x:v>是</x:v>
      </x:c>
      <x:c r="L65" s="40" t="str">
        <x:v>否</x:v>
      </x:c>
    </x:row>
    <x:row r="66">
      <x:c r="A66" s="40" t="n">
        <x:v>62</x:v>
      </x:c>
      <x:c r="B66" s="43" t="str">
        <x:v>002517</x:v>
      </x:c>
      <x:c r="C66" s="40" t="str">
        <x:v>恺英网络</x:v>
      </x:c>
      <x:c r="D66" s="40" t="str">
        <x:v>互联网</x:v>
      </x:c>
      <x:c r="E66" s="46" t="n">
        <x:v>57.5263</x:v>
      </x:c>
      <x:c r="F66" s="46" t="n">
        <x:v>78.6093</x:v>
      </x:c>
      <x:c r="G66" s="46" t="n">
        <x:v>45.7272</x:v>
      </x:c>
      <x:c r="H66" s="46" t="n">
        <x:v>50</x:v>
      </x:c>
      <x:c r="I66" s="46" t="n">
        <x:v>58.323</x:v>
      </x:c>
      <x:c r="J66" s="46" t="n">
        <x:v>51.2915</x:v>
      </x:c>
      <x:c r="K66" s="40" t="str">
        <x:v>是</x:v>
      </x:c>
      <x:c r="L66" s="40" t="str">
        <x:v>否</x:v>
      </x:c>
    </x:row>
    <x:row r="67">
      <x:c r="A67" s="40" t="n">
        <x:v>63</x:v>
      </x:c>
      <x:c r="B67" s="43" t="str">
        <x:v>301080</x:v>
      </x:c>
      <x:c r="C67" s="40" t="str">
        <x:v>百普赛斯</x:v>
      </x:c>
      <x:c r="D67" s="40" t="str">
        <x:v>生物制药</x:v>
      </x:c>
      <x:c r="E67" s="46" t="n">
        <x:v>57.4995</x:v>
      </x:c>
      <x:c r="F67" s="46" t="n">
        <x:v>70.4438</x:v>
      </x:c>
      <x:c r="G67" s="46" t="n">
        <x:v>45.4295</x:v>
      </x:c>
      <x:c r="H67" s="46" t="n">
        <x:v>50</x:v>
      </x:c>
      <x:c r="I67" s="46" t="n">
        <x:v>74.4928</x:v>
      </x:c>
      <x:c r="J67" s="46" t="n">
        <x:v>49.0485</x:v>
      </x:c>
      <x:c r="K67" s="40" t="str">
        <x:v>是</x:v>
      </x:c>
      <x:c r="L67" s="40" t="str">
        <x:v>否</x:v>
      </x:c>
    </x:row>
    <x:row r="68">
      <x:c r="A68" s="40" t="n">
        <x:v>64</x:v>
      </x:c>
      <x:c r="B68" s="43" t="str">
        <x:v>688293</x:v>
      </x:c>
      <x:c r="C68" s="40" t="str">
        <x:v>奥浦迈</x:v>
      </x:c>
      <x:c r="D68" s="40" t="str">
        <x:v>生物制药</x:v>
      </x:c>
      <x:c r="E68" s="46" t="n">
        <x:v>57.4099</x:v>
      </x:c>
      <x:c r="F68" s="46" t="n">
        <x:v>73.5929</x:v>
      </x:c>
      <x:c r="G68" s="46" t="n">
        <x:v>38.8938</x:v>
      </x:c>
      <x:c r="H68" s="46" t="n">
        <x:v>50</x:v>
      </x:c>
      <x:c r="I68" s="46" t="n">
        <x:v>91.6237</x:v>
      </x:c>
      <x:c r="J68" s="46" t="n">
        <x:v>36.9643</x:v>
      </x:c>
      <x:c r="K68" s="40" t="str">
        <x:v>是</x:v>
      </x:c>
      <x:c r="L68" s="40" t="str">
        <x:v>否</x:v>
      </x:c>
    </x:row>
    <x:row r="69">
      <x:c r="A69" s="40" t="n">
        <x:v>65</x:v>
      </x:c>
      <x:c r="B69" s="43" t="str">
        <x:v>300214</x:v>
      </x:c>
      <x:c r="C69" s="40" t="str">
        <x:v>日科化学</x:v>
      </x:c>
      <x:c r="D69" s="40" t="str">
        <x:v>化工原料</x:v>
      </x:c>
      <x:c r="E69" s="46" t="n">
        <x:v>57.3154</x:v>
      </x:c>
      <x:c r="F69" s="46" t="n">
        <x:v>72.734</x:v>
      </x:c>
      <x:c r="G69" s="46" t="n">
        <x:v>40.503</x:v>
      </x:c>
      <x:c r="H69" s="46" t="n">
        <x:v>50</x:v>
      </x:c>
      <x:c r="I69" s="46" t="n">
        <x:v>88.7095</x:v>
      </x:c>
      <x:c r="J69" s="46" t="n">
        <x:v>37.9985</x:v>
      </x:c>
      <x:c r="K69" s="40" t="str">
        <x:v>是</x:v>
      </x:c>
      <x:c r="L69" s="40" t="str">
        <x:v>否</x:v>
      </x:c>
    </x:row>
    <x:row r="70">
      <x:c r="A70" s="40" t="n">
        <x:v>66</x:v>
      </x:c>
      <x:c r="B70" s="43" t="str">
        <x:v>301520</x:v>
      </x:c>
      <x:c r="C70" s="40" t="str">
        <x:v>万邦医药</x:v>
      </x:c>
      <x:c r="D70" s="40" t="str">
        <x:v>生物制药</x:v>
      </x:c>
      <x:c r="E70" s="46" t="n">
        <x:v>57.3152</x:v>
      </x:c>
      <x:c r="F70" s="46" t="n">
        <x:v>60.3991</x:v>
      </x:c>
      <x:c r="G70" s="46" t="n">
        <x:v>52.9412</x:v>
      </x:c>
      <x:c r="H70" s="46" t="n">
        <x:v>50</x:v>
      </x:c>
      <x:c r="I70" s="46" t="n">
        <x:v>100</x:v>
      </x:c>
      <x:c r="J70" s="46" t="n">
        <x:v>26.5342</x:v>
      </x:c>
      <x:c r="K70" s="40" t="str">
        <x:v>是</x:v>
      </x:c>
      <x:c r="L70" s="40" t="str">
        <x:v>否</x:v>
      </x:c>
    </x:row>
    <x:row r="71">
      <x:c r="A71" s="40" t="n">
        <x:v>67</x:v>
      </x:c>
      <x:c r="B71" s="43" t="str">
        <x:v>688629</x:v>
      </x:c>
      <x:c r="C71" s="40" t="str">
        <x:v>华丰科技</x:v>
      </x:c>
      <x:c r="D71" s="40" t="str">
        <x:v>元器件</x:v>
      </x:c>
      <x:c r="E71" s="46" t="n">
        <x:v>57.2904</x:v>
      </x:c>
      <x:c r="F71" s="46" t="n">
        <x:v>65.6356</x:v>
      </x:c>
      <x:c r="G71" s="46" t="n">
        <x:v>46.4548</x:v>
      </x:c>
      <x:c r="H71" s="46" t="n">
        <x:v>50</x:v>
      </x:c>
      <x:c r="I71" s="46" t="n">
        <x:v>100</x:v>
      </x:c>
      <x:c r="J71" s="46" t="n">
        <x:v>28.452</x:v>
      </x:c>
      <x:c r="K71" s="40" t="str">
        <x:v>是</x:v>
      </x:c>
      <x:c r="L71" s="40" t="str">
        <x:v>否</x:v>
      </x:c>
    </x:row>
    <x:row r="72">
      <x:c r="A72" s="40" t="n">
        <x:v>68</x:v>
      </x:c>
      <x:c r="B72" s="43" t="str">
        <x:v>301015</x:v>
      </x:c>
      <x:c r="C72" s="40" t="str">
        <x:v>百洋医药</x:v>
      </x:c>
      <x:c r="D72" s="40" t="str">
        <x:v>医药商业</x:v>
      </x:c>
      <x:c r="E72" s="46" t="n">
        <x:v>57.1342</x:v>
      </x:c>
      <x:c r="F72" s="46" t="n">
        <x:v>75.6475</x:v>
      </x:c>
      <x:c r="G72" s="46" t="n">
        <x:v>34.5125</x:v>
      </x:c>
      <x:c r="H72" s="46" t="n">
        <x:v>50</x:v>
      </x:c>
      <x:c r="I72" s="46" t="n">
        <x:v>89.8297</x:v>
      </x:c>
      <x:c r="J72" s="46" t="n">
        <x:v>40.7983</x:v>
      </x:c>
      <x:c r="K72" s="40" t="str">
        <x:v>是</x:v>
      </x:c>
      <x:c r="L72" s="40" t="str">
        <x:v>否</x:v>
      </x:c>
    </x:row>
    <x:row r="73">
      <x:c r="A73" s="40" t="n">
        <x:v>69</x:v>
      </x:c>
      <x:c r="B73" s="43" t="str">
        <x:v>688197</x:v>
      </x:c>
      <x:c r="C73" s="40" t="str">
        <x:v>首药控股</x:v>
      </x:c>
      <x:c r="D73" s="40" t="str">
        <x:v>化学制药</x:v>
      </x:c>
      <x:c r="E73" s="46" t="n">
        <x:v>57.045</x:v>
      </x:c>
      <x:c r="F73" s="46" t="n">
        <x:v>68.0421</x:v>
      </x:c>
      <x:c r="G73" s="46" t="n">
        <x:v>52.9412</x:v>
      </x:c>
      <x:c r="H73" s="46" t="n">
        <x:v>50</x:v>
      </x:c>
      <x:c r="I73" s="46" t="n">
        <x:v>87.0982</x:v>
      </x:c>
      <x:c r="J73" s="46" t="n">
        <x:v>24.8966</x:v>
      </x:c>
      <x:c r="K73" s="40" t="str">
        <x:v>是</x:v>
      </x:c>
      <x:c r="L73" s="40" t="str">
        <x:v>否</x:v>
      </x:c>
    </x:row>
    <x:row r="74">
      <x:c r="A74" s="40" t="n">
        <x:v>70</x:v>
      </x:c>
      <x:c r="B74" s="43" t="str">
        <x:v>301161</x:v>
      </x:c>
      <x:c r="C74" s="40" t="str">
        <x:v>唯万密封</x:v>
      </x:c>
      <x:c r="D74" s="40" t="str">
        <x:v>工程机械</x:v>
      </x:c>
      <x:c r="E74" s="46" t="n">
        <x:v>57.0101</x:v>
      </x:c>
      <x:c r="F74" s="46" t="n">
        <x:v>69.3999</x:v>
      </x:c>
      <x:c r="G74" s="46" t="n">
        <x:v>52.9412</x:v>
      </x:c>
      <x:c r="H74" s="46" t="n">
        <x:v>50</x:v>
      </x:c>
      <x:c r="I74" s="46" t="n">
        <x:v>69.2171</x:v>
      </x:c>
      <x:c r="J74" s="46" t="n">
        <x:v>40.2817</x:v>
      </x:c>
      <x:c r="K74" s="40" t="str">
        <x:v>是</x:v>
      </x:c>
      <x:c r="L74" s="40" t="str">
        <x:v>否</x:v>
      </x:c>
    </x:row>
    <x:row r="75">
      <x:c r="A75" s="40" t="n">
        <x:v>71</x:v>
      </x:c>
      <x:c r="B75" s="43" t="str">
        <x:v>300071</x:v>
      </x:c>
      <x:c r="C75" s="40" t="str">
        <x:v>福石控股</x:v>
      </x:c>
      <x:c r="D75" s="40" t="str">
        <x:v>广告包装</x:v>
      </x:c>
      <x:c r="E75" s="46" t="n">
        <x:v>56.9983</x:v>
      </x:c>
      <x:c r="F75" s="46" t="n">
        <x:v>71.8765</x:v>
      </x:c>
      <x:c r="G75" s="46" t="n">
        <x:v>52.9412</x:v>
      </x:c>
      <x:c r="H75" s="46" t="n">
        <x:v>50</x:v>
      </x:c>
      <x:c r="I75" s="46" t="n">
        <x:v>100</x:v>
      </x:c>
      <x:c r="J75" s="46" t="n">
        <x:v>5.2926</x:v>
      </x:c>
      <x:c r="K75" s="40" t="str">
        <x:v>是</x:v>
      </x:c>
      <x:c r="L75" s="40" t="str">
        <x:v>否</x:v>
      </x:c>
    </x:row>
    <x:row r="76">
      <x:c r="A76" s="40" t="n">
        <x:v>72</x:v>
      </x:c>
      <x:c r="B76" s="43" t="str">
        <x:v>301202</x:v>
      </x:c>
      <x:c r="C76" s="40" t="str">
        <x:v>朗威股份</x:v>
      </x:c>
      <x:c r="D76" s="40" t="str">
        <x:v>机械基件</x:v>
      </x:c>
      <x:c r="E76" s="46" t="n">
        <x:v>56.9944</x:v>
      </x:c>
      <x:c r="F76" s="46" t="n">
        <x:v>71.8204</x:v>
      </x:c>
      <x:c r="G76" s="46" t="n">
        <x:v>50.6216</x:v>
      </x:c>
      <x:c r="H76" s="46" t="n">
        <x:v>50</x:v>
      </x:c>
      <x:c r="I76" s="46" t="n">
        <x:v>85.9384</x:v>
      </x:c>
      <x:c r="J76" s="46" t="n">
        <x:v>23.2876</x:v>
      </x:c>
      <x:c r="K76" s="40" t="str">
        <x:v>是</x:v>
      </x:c>
      <x:c r="L76" s="40" t="str">
        <x:v>否</x:v>
      </x:c>
    </x:row>
    <x:row r="77">
      <x:c r="A77" s="40" t="n">
        <x:v>73</x:v>
      </x:c>
      <x:c r="B77" s="43" t="str">
        <x:v>003020</x:v>
      </x:c>
      <x:c r="C77" s="40" t="str">
        <x:v>立方制药</x:v>
      </x:c>
      <x:c r="D77" s="40" t="str">
        <x:v>化学制药</x:v>
      </x:c>
      <x:c r="E77" s="46" t="n">
        <x:v>56.9893</x:v>
      </x:c>
      <x:c r="F77" s="46" t="n">
        <x:v>77.033</x:v>
      </x:c>
      <x:c r="G77" s="46" t="n">
        <x:v>27.9412</x:v>
      </x:c>
      <x:c r="H77" s="46" t="n">
        <x:v>50</x:v>
      </x:c>
      <x:c r="I77" s="46" t="n">
        <x:v>97.4037</x:v>
      </x:c>
      <x:c r="J77" s="46" t="n">
        <x:v>40.9012</x:v>
      </x:c>
      <x:c r="K77" s="40" t="str">
        <x:v>是</x:v>
      </x:c>
      <x:c r="L77" s="40" t="str">
        <x:v>否</x:v>
      </x:c>
    </x:row>
    <x:row r="78">
      <x:c r="A78" s="40" t="n">
        <x:v>74</x:v>
      </x:c>
      <x:c r="B78" s="43" t="str">
        <x:v>688235</x:v>
      </x:c>
      <x:c r="C78" s="40" t="str">
        <x:v>百济神州</x:v>
      </x:c>
      <x:c r="D78" s="40" t="str">
        <x:v>生物制药</x:v>
      </x:c>
      <x:c r="E78" s="46" t="n">
        <x:v>56.7501</x:v>
      </x:c>
      <x:c r="F78" s="46" t="n">
        <x:v>75.911</x:v>
      </x:c>
      <x:c r="G78" s="46" t="n">
        <x:v>46.4118</x:v>
      </x:c>
      <x:c r="H78" s="46" t="n">
        <x:v>50</x:v>
      </x:c>
      <x:c r="I78" s="46" t="n">
        <x:v>64.9888</x:v>
      </x:c>
      <x:c r="J78" s="46" t="n">
        <x:v>42.8071</x:v>
      </x:c>
      <x:c r="K78" s="40" t="str">
        <x:v>是</x:v>
      </x:c>
      <x:c r="L78" s="40" t="str">
        <x:v>否</x:v>
      </x:c>
    </x:row>
    <x:row r="79">
      <x:c r="A79" s="40" t="n">
        <x:v>75</x:v>
      </x:c>
      <x:c r="B79" s="43" t="str">
        <x:v>301379</x:v>
      </x:c>
      <x:c r="C79" s="40" t="str">
        <x:v>天山电子</x:v>
      </x:c>
      <x:c r="D79" s="40" t="str">
        <x:v>元器件</x:v>
      </x:c>
      <x:c r="E79" s="46" t="n">
        <x:v>56.7366</x:v>
      </x:c>
      <x:c r="F79" s="46" t="n">
        <x:v>69.4879</x:v>
      </x:c>
      <x:c r="G79" s="46" t="n">
        <x:v>52.9412</x:v>
      </x:c>
      <x:c r="H79" s="46" t="n">
        <x:v>50</x:v>
      </x:c>
      <x:c r="I79" s="46" t="n">
        <x:v>96.0895</x:v>
      </x:c>
      <x:c r="J79" s="46" t="n">
        <x:v>11.4396</x:v>
      </x:c>
      <x:c r="K79" s="40" t="str">
        <x:v>是</x:v>
      </x:c>
      <x:c r="L79" s="40" t="str">
        <x:v>是</x:v>
      </x:c>
    </x:row>
    <x:row r="80">
      <x:c r="A80" s="40" t="n">
        <x:v>76</x:v>
      </x:c>
      <x:c r="B80" s="43" t="str">
        <x:v>688311</x:v>
      </x:c>
      <x:c r="C80" s="40" t="str">
        <x:v>盟升电子</x:v>
      </x:c>
      <x:c r="D80" s="40" t="str">
        <x:v>元器件</x:v>
      </x:c>
      <x:c r="E80" s="46" t="n">
        <x:v>56.6899</x:v>
      </x:c>
      <x:c r="F80" s="46" t="n">
        <x:v>74.0793</x:v>
      </x:c>
      <x:c r="G80" s="46" t="n">
        <x:v>52.9412</x:v>
      </x:c>
      <x:c r="H80" s="46" t="n">
        <x:v>50</x:v>
      </x:c>
      <x:c r="I80" s="46" t="n">
        <x:v>74.9467</x:v>
      </x:c>
      <x:c r="J80" s="46" t="n">
        <x:v>24.6187</x:v>
      </x:c>
      <x:c r="K80" s="40" t="str">
        <x:v>是</x:v>
      </x:c>
      <x:c r="L80" s="40" t="str">
        <x:v>否</x:v>
      </x:c>
    </x:row>
    <x:row r="81">
      <x:c r="A81" s="40" t="n">
        <x:v>77</x:v>
      </x:c>
      <x:c r="B81" s="43" t="str">
        <x:v>600288</x:v>
      </x:c>
      <x:c r="C81" s="40" t="str">
        <x:v>大恒科技</x:v>
      </x:c>
      <x:c r="D81" s="40" t="str">
        <x:v>元器件</x:v>
      </x:c>
      <x:c r="E81" s="46" t="n">
        <x:v>56.5557</x:v>
      </x:c>
      <x:c r="F81" s="46" t="n">
        <x:v>73.4846</x:v>
      </x:c>
      <x:c r="G81" s="46" t="n">
        <x:v>28.1266</x:v>
      </x:c>
      <x:c r="H81" s="46" t="n">
        <x:v>50</x:v>
      </x:c>
      <x:c r="I81" s="46" t="n">
        <x:v>100</x:v>
      </x:c>
      <x:c r="J81" s="46" t="n">
        <x:v>41.0195</x:v>
      </x:c>
      <x:c r="K81" s="40" t="str">
        <x:v>是</x:v>
      </x:c>
      <x:c r="L81" s="40" t="str">
        <x:v>否</x:v>
      </x:c>
    </x:row>
    <x:row r="82">
      <x:c r="A82" s="40" t="n">
        <x:v>78</x:v>
      </x:c>
      <x:c r="B82" s="43" t="str">
        <x:v>002236</x:v>
      </x:c>
      <x:c r="C82" s="40" t="str">
        <x:v>大华股份</x:v>
      </x:c>
      <x:c r="D82" s="40" t="str">
        <x:v>IT设备</x:v>
      </x:c>
      <x:c r="E82" s="46" t="n">
        <x:v>56.4335</x:v>
      </x:c>
      <x:c r="F82" s="46" t="n">
        <x:v>81.4992</x:v>
      </x:c>
      <x:c r="G82" s="46" t="n">
        <x:v>36.0912</x:v>
      </x:c>
      <x:c r="H82" s="46" t="n">
        <x:v>50</x:v>
      </x:c>
      <x:c r="I82" s="46" t="n">
        <x:v>56.9041</x:v>
      </x:c>
      <x:c r="J82" s="46" t="n">
        <x:v>56.6683</x:v>
      </x:c>
      <x:c r="K82" s="40" t="str">
        <x:v>是</x:v>
      </x:c>
      <x:c r="L82" s="40" t="str">
        <x:v>是</x:v>
      </x:c>
    </x:row>
    <x:row r="83">
      <x:c r="A83" s="40" t="n">
        <x:v>79</x:v>
      </x:c>
      <x:c r="B83" s="43" t="str">
        <x:v>301509</x:v>
      </x:c>
      <x:c r="C83" s="40" t="str">
        <x:v>金凯生科</x:v>
      </x:c>
      <x:c r="D83" s="40" t="str">
        <x:v>化学制药</x:v>
      </x:c>
      <x:c r="E83" s="46" t="n">
        <x:v>56.4264</x:v>
      </x:c>
      <x:c r="F83" s="46" t="n">
        <x:v>75.2646</x:v>
      </x:c>
      <x:c r="G83" s="46" t="n">
        <x:v>50.4617</x:v>
      </x:c>
      <x:c r="H83" s="46" t="n">
        <x:v>50</x:v>
      </x:c>
      <x:c r="I83" s="46" t="n">
        <x:v>58.877</x:v>
      </x:c>
      <x:c r="J83" s="46" t="n">
        <x:v>41.0882</x:v>
      </x:c>
      <x:c r="K83" s="40" t="str">
        <x:v>是</x:v>
      </x:c>
      <x:c r="L83" s="40" t="str">
        <x:v>否</x:v>
      </x:c>
    </x:row>
    <x:row r="84">
      <x:c r="A84" s="40" t="n">
        <x:v>80</x:v>
      </x:c>
      <x:c r="B84" s="43" t="str">
        <x:v>300654</x:v>
      </x:c>
      <x:c r="C84" s="40" t="str">
        <x:v>世纪天鸿</x:v>
      </x:c>
      <x:c r="D84" s="40" t="str">
        <x:v>出版业</x:v>
      </x:c>
      <x:c r="E84" s="46" t="n">
        <x:v>56.4149</x:v>
      </x:c>
      <x:c r="F84" s="46" t="n">
        <x:v>72.6672</x:v>
      </x:c>
      <x:c r="G84" s="46" t="n">
        <x:v>39.1802</x:v>
      </x:c>
      <x:c r="H84" s="46" t="n">
        <x:v>50</x:v>
      </x:c>
      <x:c r="I84" s="46" t="n">
        <x:v>81.0017</x:v>
      </x:c>
      <x:c r="J84" s="46" t="n">
        <x:v>42.0185</x:v>
      </x:c>
      <x:c r="K84" s="40" t="str">
        <x:v>是</x:v>
      </x:c>
      <x:c r="L84" s="40" t="str">
        <x:v>是</x:v>
      </x:c>
    </x:row>
    <x:row r="85">
      <x:c r="A85" s="40" t="n">
        <x:v>81</x:v>
      </x:c>
      <x:c r="B85" s="43" t="str">
        <x:v>600206</x:v>
      </x:c>
      <x:c r="C85" s="40" t="str">
        <x:v>有研新材</x:v>
      </x:c>
      <x:c r="D85" s="40" t="str">
        <x:v>半导体</x:v>
      </x:c>
      <x:c r="E85" s="46" t="n">
        <x:v>56.3817</x:v>
      </x:c>
      <x:c r="F85" s="46" t="n">
        <x:v>70.6977</x:v>
      </x:c>
      <x:c r="G85" s="46" t="n">
        <x:v>52.9412</x:v>
      </x:c>
      <x:c r="H85" s="46" t="n">
        <x:v>50</x:v>
      </x:c>
      <x:c r="I85" s="46" t="n">
        <x:v>95.4916</x:v>
      </x:c>
      <x:c r="J85" s="46" t="n">
        <x:v>7.6552</x:v>
      </x:c>
      <x:c r="K85" s="40" t="str">
        <x:v>是</x:v>
      </x:c>
      <x:c r="L85" s="40" t="str">
        <x:v>否</x:v>
      </x:c>
    </x:row>
    <x:row r="86">
      <x:c r="A86" s="40" t="n">
        <x:v>82</x:v>
      </x:c>
      <x:c r="B86" s="43" t="str">
        <x:v>688019</x:v>
      </x:c>
      <x:c r="C86" s="40" t="str">
        <x:v>安集科技</x:v>
      </x:c>
      <x:c r="D86" s="40" t="str">
        <x:v>半导体</x:v>
      </x:c>
      <x:c r="E86" s="46" t="n">
        <x:v>56.3752</x:v>
      </x:c>
      <x:c r="F86" s="46" t="n">
        <x:v>71.9466</x:v>
      </x:c>
      <x:c r="G86" s="46" t="n">
        <x:v>46.7968</x:v>
      </x:c>
      <x:c r="H86" s="46" t="n">
        <x:v>50</x:v>
      </x:c>
      <x:c r="I86" s="46" t="n">
        <x:v>94.0624</x:v>
      </x:c>
      <x:c r="J86" s="46" t="n">
        <x:v>17.1996</x:v>
      </x:c>
      <x:c r="K86" s="40" t="str">
        <x:v>是</x:v>
      </x:c>
      <x:c r="L86" s="40" t="str">
        <x:v>是</x:v>
      </x:c>
    </x:row>
    <x:row r="87">
      <x:c r="A87" s="40" t="n">
        <x:v>83</x:v>
      </x:c>
      <x:c r="B87" s="43" t="str">
        <x:v>603183</x:v>
      </x:c>
      <x:c r="C87" s="40" t="str">
        <x:v>建研院</x:v>
      </x:c>
      <x:c r="D87" s="40" t="str">
        <x:v>建筑工程</x:v>
      </x:c>
      <x:c r="E87" s="46" t="n">
        <x:v>56.3229</x:v>
      </x:c>
      <x:c r="F87" s="46" t="n">
        <x:v>74.4192</x:v>
      </x:c>
      <x:c r="G87" s="46" t="n">
        <x:v>27.9412</x:v>
      </x:c>
      <x:c r="H87" s="46" t="n">
        <x:v>50</x:v>
      </x:c>
      <x:c r="I87" s="46" t="n">
        <x:v>93.0851</x:v>
      </x:c>
      <x:c r="J87" s="46" t="n">
        <x:v>45.1334</x:v>
      </x:c>
      <x:c r="K87" s="40" t="str">
        <x:v>是</x:v>
      </x:c>
      <x:c r="L87" s="40" t="str">
        <x:v>否</x:v>
      </x:c>
    </x:row>
    <x:row r="88">
      <x:c r="A88" s="40" t="n">
        <x:v>84</x:v>
      </x:c>
      <x:c r="B88" s="43" t="str">
        <x:v>301392</x:v>
      </x:c>
      <x:c r="C88" s="40" t="str">
        <x:v>汇成真空</x:v>
      </x:c>
      <x:c r="D88" s="40" t="str">
        <x:v>专用机械</x:v>
      </x:c>
      <x:c r="E88" s="46" t="n">
        <x:v>56.2265</x:v>
      </x:c>
      <x:c r="F88" s="46" t="n">
        <x:v>67.9448</x:v>
      </x:c>
      <x:c r="G88" s="46" t="n">
        <x:v>52.637</x:v>
      </x:c>
      <x:c r="H88" s="46" t="n">
        <x:v>50</x:v>
      </x:c>
      <x:c r="I88" s="46" t="n">
        <x:v>91.4896</x:v>
      </x:c>
      <x:c r="J88" s="46" t="n">
        <x:v>15.7176</x:v>
      </x:c>
      <x:c r="K88" s="40" t="str">
        <x:v>是</x:v>
      </x:c>
      <x:c r="L88" s="40" t="str">
        <x:v>否</x:v>
      </x:c>
    </x:row>
    <x:row r="89">
      <x:c r="A89" s="40" t="n">
        <x:v>85</x:v>
      </x:c>
      <x:c r="B89" s="43" t="str">
        <x:v>688111</x:v>
      </x:c>
      <x:c r="C89" s="40" t="str">
        <x:v>金山办公</x:v>
      </x:c>
      <x:c r="D89" s="40" t="str">
        <x:v>软件服务</x:v>
      </x:c>
      <x:c r="E89" s="46" t="n">
        <x:v>56.1621</x:v>
      </x:c>
      <x:c r="F89" s="46" t="n">
        <x:v>76.9232</x:v>
      </x:c>
      <x:c r="G89" s="46" t="n">
        <x:v>36.7058</x:v>
      </x:c>
      <x:c r="H89" s="46" t="n">
        <x:v>50</x:v>
      </x:c>
      <x:c r="I89" s="46" t="n">
        <x:v>82.3579</x:v>
      </x:c>
      <x:c r="J89" s="46" t="n">
        <x:v>36.0076</x:v>
      </x:c>
      <x:c r="K89" s="40" t="str">
        <x:v>是</x:v>
      </x:c>
      <x:c r="L89" s="40" t="str">
        <x:v>否</x:v>
      </x:c>
    </x:row>
    <x:row r="90">
      <x:c r="A90" s="40" t="n">
        <x:v>86</x:v>
      </x:c>
      <x:c r="B90" s="43" t="str">
        <x:v>300404</x:v>
      </x:c>
      <x:c r="C90" s="40" t="str">
        <x:v>博济医药</x:v>
      </x:c>
      <x:c r="D90" s="40" t="str">
        <x:v>医疗保健</x:v>
      </x:c>
      <x:c r="E90" s="46" t="n">
        <x:v>56.088</x:v>
      </x:c>
      <x:c r="F90" s="46" t="n">
        <x:v>76.8429</x:v>
      </x:c>
      <x:c r="G90" s="46" t="n">
        <x:v>44.9105</x:v>
      </x:c>
      <x:c r="H90" s="46" t="n">
        <x:v>50</x:v>
      </x:c>
      <x:c r="I90" s="46" t="n">
        <x:v>59.6017</x:v>
      </x:c>
      <x:c r="J90" s="46" t="n">
        <x:v>44.729</x:v>
      </x:c>
      <x:c r="K90" s="40" t="str">
        <x:v>是</x:v>
      </x:c>
      <x:c r="L90" s="40" t="str">
        <x:v>否</x:v>
      </x:c>
    </x:row>
    <x:row r="91">
      <x:c r="A91" s="40" t="n">
        <x:v>87</x:v>
      </x:c>
      <x:c r="B91" s="43" t="str">
        <x:v>300689</x:v>
      </x:c>
      <x:c r="C91" s="40" t="str">
        <x:v>澄天伟业</x:v>
      </x:c>
      <x:c r="D91" s="40" t="str">
        <x:v>通信设备</x:v>
      </x:c>
      <x:c r="E91" s="46" t="n">
        <x:v>56.0514</x:v>
      </x:c>
      <x:c r="F91" s="46" t="n">
        <x:v>71.3482</x:v>
      </x:c>
      <x:c r="G91" s="46" t="n">
        <x:v>27.9412</x:v>
      </x:c>
      <x:c r="H91" s="46" t="n">
        <x:v>50</x:v>
      </x:c>
      <x:c r="I91" s="46" t="n">
        <x:v>97.8346</x:v>
      </x:c>
      <x:c r="J91" s="46" t="n">
        <x:v>43.6923</x:v>
      </x:c>
      <x:c r="K91" s="40" t="str">
        <x:v>是</x:v>
      </x:c>
      <x:c r="L91" s="40" t="str">
        <x:v>否</x:v>
      </x:c>
    </x:row>
    <x:row r="92">
      <x:c r="A92" s="40" t="n">
        <x:v>88</x:v>
      </x:c>
      <x:c r="B92" s="43" t="str">
        <x:v>001314</x:v>
      </x:c>
      <x:c r="C92" s="40" t="str">
        <x:v>亿道信息</x:v>
      </x:c>
      <x:c r="D92" s="40" t="str">
        <x:v>元器件</x:v>
      </x:c>
      <x:c r="E92" s="46" t="n">
        <x:v>56.0398</x:v>
      </x:c>
      <x:c r="F92" s="46" t="n">
        <x:v>69.7873</x:v>
      </x:c>
      <x:c r="G92" s="46" t="n">
        <x:v>48.6965</x:v>
      </x:c>
      <x:c r="H92" s="46" t="n">
        <x:v>50</x:v>
      </x:c>
      <x:c r="I92" s="46" t="n">
        <x:v>67.669</x:v>
      </x:c>
      <x:c r="J92" s="46" t="n">
        <x:v>41.7903</x:v>
      </x:c>
      <x:c r="K92" s="40" t="str">
        <x:v>是</x:v>
      </x:c>
      <x:c r="L92" s="40" t="str">
        <x:v>是</x:v>
      </x:c>
    </x:row>
    <x:row r="93">
      <x:c r="A93" s="40" t="n">
        <x:v>89</x:v>
      </x:c>
      <x:c r="B93" s="43" t="str">
        <x:v>300199</x:v>
      </x:c>
      <x:c r="C93" s="40" t="str">
        <x:v>翰宇药业</x:v>
      </x:c>
      <x:c r="D93" s="40" t="str">
        <x:v>化学制药</x:v>
      </x:c>
      <x:c r="E93" s="46" t="n">
        <x:v>56.0023</x:v>
      </x:c>
      <x:c r="F93" s="46" t="n">
        <x:v>76.0009</x:v>
      </x:c>
      <x:c r="G93" s="46" t="n">
        <x:v>52.9412</x:v>
      </x:c>
      <x:c r="H93" s="46" t="n">
        <x:v>50</x:v>
      </x:c>
      <x:c r="I93" s="46" t="n">
        <x:v>67.186</x:v>
      </x:c>
      <x:c r="J93" s="46" t="n">
        <x:v>24.5927</x:v>
      </x:c>
      <x:c r="K93" s="40" t="str">
        <x:v>是</x:v>
      </x:c>
      <x:c r="L93" s="40" t="str">
        <x:v>否</x:v>
      </x:c>
    </x:row>
    <x:row r="94">
      <x:c r="A94" s="40" t="n">
        <x:v>90</x:v>
      </x:c>
      <x:c r="B94" s="43" t="str">
        <x:v>603456</x:v>
      </x:c>
      <x:c r="C94" s="40" t="str">
        <x:v>九洲药业</x:v>
      </x:c>
      <x:c r="D94" s="40" t="str">
        <x:v>医疗保健</x:v>
      </x:c>
      <x:c r="E94" s="46" t="n">
        <x:v>56.001</x:v>
      </x:c>
      <x:c r="F94" s="46" t="n">
        <x:v>79.9213</x:v>
      </x:c>
      <x:c r="G94" s="46" t="n">
        <x:v>40.1065</x:v>
      </x:c>
      <x:c r="H94" s="46" t="n">
        <x:v>50</x:v>
      </x:c>
      <x:c r="I94" s="46" t="n">
        <x:v>62.9284</x:v>
      </x:c>
      <x:c r="J94" s="46" t="n">
        <x:v>43.6989</x:v>
      </x:c>
      <x:c r="K94" s="40" t="str">
        <x:v>是</x:v>
      </x:c>
      <x:c r="L94" s="40" t="str">
        <x:v>否</x:v>
      </x:c>
    </x:row>
    <x:row r="95">
      <x:c r="A95" s="40" t="n">
        <x:v>91</x:v>
      </x:c>
      <x:c r="B95" s="43" t="str">
        <x:v>605208</x:v>
      </x:c>
      <x:c r="C95" s="40" t="str">
        <x:v>永茂泰</x:v>
      </x:c>
      <x:c r="D95" s="40" t="str">
        <x:v>铝</x:v>
      </x:c>
      <x:c r="E95" s="46" t="n">
        <x:v>55.9929</x:v>
      </x:c>
      <x:c r="F95" s="46" t="n">
        <x:v>75.915</x:v>
      </x:c>
      <x:c r="G95" s="46" t="n">
        <x:v>27.9412</x:v>
      </x:c>
      <x:c r="H95" s="46" t="n">
        <x:v>50</x:v>
      </x:c>
      <x:c r="I95" s="46" t="n">
        <x:v>94.7457</x:v>
      </x:c>
      <x:c r="J95" s="46" t="n">
        <x:v>38.7799</x:v>
      </x:c>
      <x:c r="K95" s="40" t="str">
        <x:v>是</x:v>
      </x:c>
      <x:c r="L95" s="40" t="str">
        <x:v>否</x:v>
      </x:c>
    </x:row>
    <x:row r="96">
      <x:c r="A96" s="40" t="n">
        <x:v>92</x:v>
      </x:c>
      <x:c r="B96" s="43" t="str">
        <x:v>603268</x:v>
      </x:c>
      <x:c r="C96" s="40" t="str">
        <x:v>松发股份</x:v>
      </x:c>
      <x:c r="D96" s="40" t="str">
        <x:v>船舶</x:v>
      </x:c>
      <x:c r="E96" s="46" t="n">
        <x:v>55.8652</x:v>
      </x:c>
      <x:c r="F96" s="46" t="n">
        <x:v>77.1831</x:v>
      </x:c>
      <x:c r="G96" s="46" t="n">
        <x:v>45.0665</x:v>
      </x:c>
      <x:c r="H96" s="46" t="n">
        <x:v>50</x:v>
      </x:c>
      <x:c r="I96" s="46" t="n">
        <x:v>71.7859</x:v>
      </x:c>
      <x:c r="J96" s="46" t="n">
        <x:v>30.2327</x:v>
      </x:c>
      <x:c r="K96" s="40" t="str">
        <x:v>是</x:v>
      </x:c>
      <x:c r="L96" s="40" t="str">
        <x:v>否</x:v>
      </x:c>
    </x:row>
    <x:row r="97">
      <x:c r="A97" s="40" t="n">
        <x:v>93</x:v>
      </x:c>
      <x:c r="B97" s="43" t="str">
        <x:v>301108</x:v>
      </x:c>
      <x:c r="C97" s="40" t="str">
        <x:v>洁雅股份</x:v>
      </x:c>
      <x:c r="D97" s="40" t="str">
        <x:v>日用化工</x:v>
      </x:c>
      <x:c r="E97" s="46" t="n">
        <x:v>55.7882</x:v>
      </x:c>
      <x:c r="F97" s="46" t="n">
        <x:v>74.8562</x:v>
      </x:c>
      <x:c r="G97" s="46" t="n">
        <x:v>25.0378</x:v>
      </x:c>
      <x:c r="H97" s="46" t="n">
        <x:v>50</x:v>
      </x:c>
      <x:c r="I97" s="46" t="n">
        <x:v>100</x:v>
      </x:c>
      <x:c r="J97" s="46" t="n">
        <x:v>38.7646</x:v>
      </x:c>
      <x:c r="K97" s="40" t="str">
        <x:v>是</x:v>
      </x:c>
      <x:c r="L97" s="40" t="str">
        <x:v>否</x:v>
      </x:c>
    </x:row>
    <x:row r="98">
      <x:c r="A98" s="40" t="n">
        <x:v>94</x:v>
      </x:c>
      <x:c r="B98" s="43" t="str">
        <x:v>688153</x:v>
      </x:c>
      <x:c r="C98" s="40" t="str">
        <x:v>唯捷创芯</x:v>
      </x:c>
      <x:c r="D98" s="40" t="str">
        <x:v>半导体</x:v>
      </x:c>
      <x:c r="E98" s="46" t="n">
        <x:v>55.7764</x:v>
      </x:c>
      <x:c r="F98" s="46" t="n">
        <x:v>69.5224</x:v>
      </x:c>
      <x:c r="G98" s="46" t="n">
        <x:v>38.8822</x:v>
      </x:c>
      <x:c r="H98" s="46" t="n">
        <x:v>50</x:v>
      </x:c>
      <x:c r="I98" s="46" t="n">
        <x:v>77.9327</x:v>
      </x:c>
      <x:c r="J98" s="46" t="n">
        <x:v>46.5689</x:v>
      </x:c>
      <x:c r="K98" s="40" t="str">
        <x:v>是</x:v>
      </x:c>
      <x:c r="L98" s="40" t="str">
        <x:v>否</x:v>
      </x:c>
    </x:row>
    <x:row r="99">
      <x:c r="A99" s="40" t="n">
        <x:v>95</x:v>
      </x:c>
      <x:c r="B99" s="43" t="str">
        <x:v>002965</x:v>
      </x:c>
      <x:c r="C99" s="40" t="str">
        <x:v>祥鑫科技</x:v>
      </x:c>
      <x:c r="D99" s="40" t="str">
        <x:v>汽车配件</x:v>
      </x:c>
      <x:c r="E99" s="46" t="n">
        <x:v>55.7712</x:v>
      </x:c>
      <x:c r="F99" s="46" t="n">
        <x:v>68.79</x:v>
      </x:c>
      <x:c r="G99" s="46" t="n">
        <x:v>52.9412</x:v>
      </x:c>
      <x:c r="H99" s="46" t="n">
        <x:v>50</x:v>
      </x:c>
      <x:c r="I99" s="46" t="n">
        <x:v>57.2128</x:v>
      </x:c>
      <x:c r="J99" s="46" t="n">
        <x:v>45.043</x:v>
      </x:c>
      <x:c r="K99" s="40" t="str">
        <x:v>是</x:v>
      </x:c>
      <x:c r="L99" s="40" t="str">
        <x:v>是</x:v>
      </x:c>
    </x:row>
    <x:row r="100">
      <x:c r="A100" s="40" t="n">
        <x:v>96</x:v>
      </x:c>
      <x:c r="B100" s="43" t="str">
        <x:v>688535</x:v>
      </x:c>
      <x:c r="C100" s="40" t="str">
        <x:v>华海诚科</x:v>
      </x:c>
      <x:c r="D100" s="40" t="str">
        <x:v>半导体</x:v>
      </x:c>
      <x:c r="E100" s="46" t="n">
        <x:v>55.7351</x:v>
      </x:c>
      <x:c r="F100" s="46" t="n">
        <x:v>74.4051</x:v>
      </x:c>
      <x:c r="G100" s="46" t="n">
        <x:v>52.9412</x:v>
      </x:c>
      <x:c r="H100" s="46" t="n">
        <x:v>50</x:v>
      </x:c>
      <x:c r="I100" s="46" t="n">
        <x:v>81.0697</x:v>
      </x:c>
      <x:c r="J100" s="46" t="n">
        <x:v>11.5872</x:v>
      </x:c>
      <x:c r="K100" s="40" t="str">
        <x:v>是</x:v>
      </x:c>
      <x:c r="L100" s="40" t="str">
        <x:v>否</x:v>
      </x:c>
    </x:row>
    <x:row r="101">
      <x:c r="A101" s="40" t="n">
        <x:v>97</x:v>
      </x:c>
      <x:c r="B101" s="43" t="str">
        <x:v>300287</x:v>
      </x:c>
      <x:c r="C101" s="40" t="str">
        <x:v>飞利信</x:v>
      </x:c>
      <x:c r="D101" s="40" t="str">
        <x:v>软件服务</x:v>
      </x:c>
      <x:c r="E101" s="46" t="n">
        <x:v>55.7259</x:v>
      </x:c>
      <x:c r="F101" s="46" t="n">
        <x:v>75.7968</x:v>
      </x:c>
      <x:c r="G101" s="46" t="n">
        <x:v>51.6695</x:v>
      </x:c>
      <x:c r="H101" s="46" t="n">
        <x:v>50</x:v>
      </x:c>
      <x:c r="I101" s="46" t="n">
        <x:v>74.4088</x:v>
      </x:c>
      <x:c r="J101" s="46" t="n">
        <x:v>17.9865</x:v>
      </x:c>
      <x:c r="K101" s="40" t="str">
        <x:v>是</x:v>
      </x:c>
      <x:c r="L101" s="40" t="str">
        <x:v>是</x:v>
      </x:c>
    </x:row>
    <x:row r="102">
      <x:c r="A102" s="40" t="n">
        <x:v>98</x:v>
      </x:c>
      <x:c r="B102" s="43" t="str">
        <x:v>301307</x:v>
      </x:c>
      <x:c r="C102" s="40" t="str">
        <x:v>美利信</x:v>
      </x:c>
      <x:c r="D102" s="40" t="str">
        <x:v>通信设备</x:v>
      </x:c>
      <x:c r="E102" s="46" t="n">
        <x:v>55.7176</x:v>
      </x:c>
      <x:c r="F102" s="46" t="n">
        <x:v>61.9592</x:v>
      </x:c>
      <x:c r="G102" s="46" t="n">
        <x:v>52.9412</x:v>
      </x:c>
      <x:c r="H102" s="46" t="n">
        <x:v>50</x:v>
      </x:c>
      <x:c r="I102" s="46" t="n">
        <x:v>100</x:v>
      </x:c>
      <x:c r="J102" s="46" t="n">
        <x:v>13.2834</x:v>
      </x:c>
      <x:c r="K102" s="40" t="str">
        <x:v>是</x:v>
      </x:c>
      <x:c r="L102" s="40" t="str">
        <x:v>否</x:v>
      </x:c>
    </x:row>
    <x:row r="103">
      <x:c r="A103" s="40" t="n">
        <x:v>99</x:v>
      </x:c>
      <x:c r="B103" s="43" t="str">
        <x:v>301038</x:v>
      </x:c>
      <x:c r="C103" s="40" t="str">
        <x:v>深水规院</x:v>
      </x:c>
      <x:c r="D103" s="40" t="str">
        <x:v>建筑工程</x:v>
      </x:c>
      <x:c r="E103" s="46" t="n">
        <x:v>55.7042</x:v>
      </x:c>
      <x:c r="F103" s="46" t="n">
        <x:v>80.4965</x:v>
      </x:c>
      <x:c r="G103" s="46" t="n">
        <x:v>38.3543</x:v>
      </x:c>
      <x:c r="H103" s="46" t="n">
        <x:v>50</x:v>
      </x:c>
      <x:c r="I103" s="46" t="n">
        <x:v>78.9301</x:v>
      </x:c>
      <x:c r="J103" s="46" t="n">
        <x:v>27.6796</x:v>
      </x:c>
      <x:c r="K103" s="40" t="str">
        <x:v>是</x:v>
      </x:c>
      <x:c r="L103" s="40" t="str">
        <x:v>否</x:v>
      </x:c>
    </x:row>
    <x:row r="104">
      <x:c r="A104" s="41" t="n">
        <x:v>100</x:v>
      </x:c>
      <x:c r="B104" s="44" t="str">
        <x:v>600276</x:v>
      </x:c>
      <x:c r="C104" s="41" t="str">
        <x:v>恒瑞医药</x:v>
      </x:c>
      <x:c r="D104" s="41" t="str">
        <x:v>化学制药</x:v>
      </x:c>
      <x:c r="E104" s="47" t="n">
        <x:v>55.6804</x:v>
      </x:c>
      <x:c r="F104" s="47" t="n">
        <x:v>79.8875</x:v>
      </x:c>
      <x:c r="G104" s="47" t="n">
        <x:v>33.2568</x:v>
      </x:c>
      <x:c r="H104" s="47" t="n">
        <x:v>50</x:v>
      </x:c>
      <x:c r="I104" s="47" t="n">
        <x:v>64.83</x:v>
      </x:c>
      <x:c r="J104" s="47" t="n">
        <x:v>51.1322</x:v>
      </x:c>
      <x:c r="K104" s="41" t="str">
        <x:v>是</x:v>
      </x:c>
      <x:c r="L104" s="41" t="str">
        <x:v>否</x:v>
      </x:c>
    </x:row>
  </x:sheetData>
  <x:mergeCells>
    <x:mergeCell ref="A1:L2"/>
    <x:mergeCell ref="A3:L3"/>
  </x:mergeCells>
  <x:conditionalFormatting sqref="E5:E104">
    <x:cfRule type="colorScale" priority="1">
      <x:colorScale>
        <x:cfvo type="min"/>
        <x:cfvo type="percentile" val="50"/>
        <x:cfvo type="max"/>
        <x:color rgb="FFF4CCCC"/>
        <x:color rgb="FFFFF2CC"/>
        <x:color rgb="FFC6E0B4"/>
      </x:colorScale>
    </x:cfRule>
  </x:conditionalFormatting>
  <x:conditionalFormatting sqref="L5:L104">
    <x:cfRule type="containsText" dxfId="8" priority="2" operator="containsText" text="是"/>
  </x:conditionalFormatting>
  <x:pageMargins left="0.7" right="0.7" top="0.75" bottom="0.75" header="0.3" footer="0.3"/>
  <x:tableParts count="1">
    <x:tablePart xmlns:r="http://schemas.openxmlformats.org/officeDocument/2006/relationships" r:id="R8d5c1f3d3aeb481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4" hidden="0" customWidth="1"/>
    <x:col min="2" max="2" width="16" hidden="0" customWidth="1"/>
    <x:col min="3" max="3" width="18" hidden="0" customWidth="1"/>
    <x:col min="4" max="4" width="16" hidden="0" customWidth="1"/>
    <x:col min="5" max="5" width="52" hidden="0" customWidth="1"/>
  </x:cols>
  <x:sheetData>
    <x:row r="1" ht="28" customHeight="1">
      <x:c r="A1" s="3" t="str">
        <x:v>当前问题</x:v>
      </x:c>
    </x:row>
    <x:row r="3" ht="22" customHeight="1">
      <x:c r="A3" s="5" t="str">
        <x:v>当前仅列出仍需处理的事项；历史已解决问题 5 项不再重复展示。</x:v>
      </x:c>
    </x:row>
    <x:row r="4" ht="32" customHeight="1">
      <x:c r="A4" s="34" t="str">
        <x:v>股票代码</x:v>
      </x:c>
      <x:c r="B4" s="34" t="str">
        <x:v>股票名称</x:v>
      </x:c>
      <x:c r="C4" s="34" t="str">
        <x:v>问题类型</x:v>
      </x:c>
      <x:c r="D4" s="34" t="str">
        <x:v>当前状态</x:v>
      </x:c>
      <x:c r="E4" s="34" t="str">
        <x:v>说明</x:v>
      </x:c>
    </x:row>
    <x:row r="5">
      <x:c r="A5" s="42" t="str">
        <x:v>688222</x:v>
      </x:c>
      <x:c r="B5" s="39" t="str">
        <x:v>成都先导</x:v>
      </x:c>
      <x:c r="C5" s="39" t="str">
        <x:v>基本面补全</x:v>
      </x:c>
      <x:c r="D5" s="39" t="str">
        <x:v>待人工确认</x:v>
      </x:c>
      <x:c r="E5" s="51" t="str">
        <x:v>内容包含缺少依据的行业领先表述，需要人工确认</x:v>
      </x:c>
    </x:row>
    <x:row r="6">
      <x:c r="A6" s="43" t="str">
        <x:v>603726</x:v>
      </x:c>
      <x:c r="B6" s="40" t="str">
        <x:v>朗迪集团</x:v>
      </x:c>
      <x:c r="C6" s="40" t="str">
        <x:v>基本面补全</x:v>
      </x:c>
      <x:c r="D6" s="40" t="str">
        <x:v>待人工确认</x:v>
      </x:c>
      <x:c r="E6" s="52" t="str">
        <x:v>内容包含未核验的客户信息，需要人工确认</x:v>
      </x:c>
    </x:row>
    <x:row r="7">
      <x:c r="A7" s="44" t="str">
        <x:v>603726</x:v>
      </x:c>
      <x:c r="B7" s="41" t="str">
        <x:v>朗迪集团</x:v>
      </x:c>
      <x:c r="C7" s="41" t="str">
        <x:v>规则提醒</x:v>
      </x:c>
      <x:c r="D7" s="41" t="str">
        <x:v>已阻断</x:v>
      </x:c>
      <x:c r="E7" s="53" t="str">
        <x:v>基本面补全未通过，挂单和仓位建议已按规则阻断</x:v>
      </x:c>
    </x:row>
  </x:sheetData>
  <x:mergeCells>
    <x:mergeCell ref="A1:E2"/>
    <x:mergeCell ref="A3:E3"/>
  </x:mergeCells>
  <x:conditionalFormatting sqref="D5:D7">
    <x:cfRule type="containsText" dxfId="9" priority="1" operator="containsText" text="已阻断"/>
    <x:cfRule type="containsText" dxfId="10" priority="2" operator="containsText" text="待人工确认"/>
  </x:conditionalFormatting>
  <x:pageMargins left="0.7" right="0.7" top="0.75" bottom="0.75" header="0.3" footer="0.3"/>
  <x:tableParts count="1">
    <x:tablePart xmlns:r="http://schemas.openxmlformats.org/officeDocument/2006/relationships" r:id="Rd2348a0c5c204392"/>
  </x:tableParts>
</x:worksheet>
</file>