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ai stock agent\outputs\2026-07-10\"/>
    </mc:Choice>
  </mc:AlternateContent>
  <xr:revisionPtr revIDLastSave="0" documentId="13_ncr:1_{2C24FA3E-D75D-4DD1-A689-F49ED63FACA6}" xr6:coauthVersionLast="47" xr6:coauthVersionMax="47" xr10:uidLastSave="{00000000-0000-0000-0000-000000000000}"/>
  <bookViews>
    <workbookView xWindow="-98" yWindow="-98" windowWidth="21795" windowHeight="13875" activeTab="1" xr2:uid="{00000000-000D-0000-FFFF-FFFF00000000}"/>
  </bookViews>
  <sheets>
    <sheet name="今日概览" sheetId="1" r:id="rId1"/>
    <sheet name="重点候选" sheetId="2" r:id="rId2"/>
    <sheet name="挂单与仓位" sheetId="3" r:id="rId3"/>
    <sheet name="基本面摘要" sheetId="4" r:id="rId4"/>
    <sheet name="量化前100"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3" i="3" l="1"/>
  <c r="V33" i="3"/>
  <c r="U33" i="3"/>
  <c r="T33" i="3"/>
  <c r="J6" i="1"/>
  <c r="G6" i="1"/>
  <c r="D6" i="1"/>
  <c r="A6" i="1"/>
</calcChain>
</file>

<file path=xl/sharedStrings.xml><?xml version="1.0" encoding="utf-8"?>
<sst xmlns="http://schemas.openxmlformats.org/spreadsheetml/2006/main" count="1572" uniqueCount="568">
  <si>
    <t>2026-07-10 A股短线观察清单</t>
  </si>
  <si>
    <t>供人工复核，最终交易决策由你确认。  观察日期：2026-07-10  目标日期：2026-07-13</t>
  </si>
  <si>
    <t>重点候选</t>
  </si>
  <si>
    <t>有仓位建议</t>
  </si>
  <si>
    <t>当前问题</t>
  </si>
  <si>
    <t>二筛股票</t>
  </si>
  <si>
    <t>优先复核清单</t>
  </si>
  <si>
    <t>复核排名</t>
  </si>
  <si>
    <t>股票代码</t>
  </si>
  <si>
    <t>股票名称</t>
  </si>
  <si>
    <t>来源</t>
  </si>
  <si>
    <t>二筛分</t>
  </si>
  <si>
    <t>深度复核分</t>
  </si>
  <si>
    <t>结论</t>
  </si>
  <si>
    <t>建议仓位</t>
  </si>
  <si>
    <t>参考价</t>
  </si>
  <si>
    <t>止损价</t>
  </si>
  <si>
    <t>第二目标价</t>
  </si>
  <si>
    <t>核心逻辑</t>
  </si>
  <si>
    <t>688981</t>
  </si>
  <si>
    <t>中芯国际</t>
  </si>
  <si>
    <t>模型筛选</t>
  </si>
  <si>
    <t>继续观察</t>
  </si>
  <si>
    <t>公司作为中国大陆领先的晶圆代工企业，受益于半导体国产替代和先进制程需求增长，财务状态稳定，但需关注技术迭代和地缘政治风险。*</t>
  </si>
  <si>
    <t>603893</t>
  </si>
  <si>
    <t>瑞芯微</t>
  </si>
  <si>
    <t>优先复核</t>
  </si>
  <si>
    <t>公司主营智能应用处理器系统级芯片及周边芯片，受益于消费电子、物联网、人工智能等下游需求增长；财务表现稳健，营收和净利润同比增长显著，研发投入较高。*</t>
  </si>
  <si>
    <t>300474</t>
  </si>
  <si>
    <t>景嘉微</t>
  </si>
  <si>
    <t>普通观察</t>
  </si>
  <si>
    <t>公司主营高可靠军用电子产品，是国内唯一成功自主研发国产化图形处理芯片并产业化的企业，受益于国产替代和军工信息化趋势。但近期财务表现承压，营收下滑，净利润亏损，研发投入较高。*</t>
  </si>
  <si>
    <t>002558</t>
  </si>
  <si>
    <t>巨人网络</t>
  </si>
  <si>
    <t>公司主营互联网游戏和社区工具，拥有多款国民级产品，财务表现稳健，营收和利润高速增长，毛利率高，现金流良好。*</t>
  </si>
  <si>
    <t>000977</t>
  </si>
  <si>
    <t>浪潮信息</t>
  </si>
  <si>
    <t>公司主营计算机软硬件及系统集成，受益于云计算、大数据和智慧城市发展，但营收下滑，经营现金流为负，需关注。*</t>
  </si>
  <si>
    <t>688135</t>
  </si>
  <si>
    <t>利扬芯片</t>
  </si>
  <si>
    <t>公司作为独立第三方集成电路测试服务商，主营晶圆测试和芯片成品测试，受益于半导体产业链分工细化和国产替代趋势。财务显示营收和利润增长，但规模较小，需关注后续订单和产能扩张。*</t>
  </si>
  <si>
    <t>002605</t>
  </si>
  <si>
    <t>姚记科技</t>
  </si>
  <si>
    <t>公司主营扑克牌和移动游戏，受益于休闲娱乐消费和游戏行业增长，但需关注竞争和监管风险。*</t>
  </si>
  <si>
    <t>301345</t>
  </si>
  <si>
    <t>涛涛车业</t>
  </si>
  <si>
    <t>公司主营电动出行和户外特种车，受益于电动化替代和户外运动普及，财务表现稳健，营收和利润高速增长。*</t>
  </si>
  <si>
    <t>603019</t>
  </si>
  <si>
    <t>中科曙光</t>
  </si>
  <si>
    <t>人工关注</t>
  </si>
  <si>
    <t>公司主营高性能计算机、服务器及存储产品，并围绕高端计算机提供软件开发、系统集成与技术服务，受益于高性能计算、云计算及国产替代趋势。财务状态稳定，营收和利润增长良好，研发投入较高。*</t>
  </si>
  <si>
    <t>002274</t>
  </si>
  <si>
    <t>华昌化工</t>
  </si>
  <si>
    <t>公司作为综合性煤化工企业，受益于煤化工产业链一体化布局，财务状态稳定，但需关注行业周期和原材料价格波动。*</t>
  </si>
  <si>
    <t>按深度复核排名排列；星号表示尚未外部核验的保守归纳。</t>
  </si>
  <si>
    <t>入选来源</t>
  </si>
  <si>
    <t>量化排名</t>
  </si>
  <si>
    <t>量化得分</t>
  </si>
  <si>
    <t>二筛得分</t>
  </si>
  <si>
    <t>二筛结论</t>
  </si>
  <si>
    <t>复核优先级</t>
  </si>
  <si>
    <t>一级行业</t>
  </si>
  <si>
    <t>产业链</t>
  </si>
  <si>
    <t>财务状态</t>
  </si>
  <si>
    <t>建议股数</t>
  </si>
  <si>
    <t>风险收益比</t>
  </si>
  <si>
    <t>主要风险</t>
  </si>
  <si>
    <t>当前状态</t>
  </si>
  <si>
    <t>中</t>
  </si>
  <si>
    <t>半导体</t>
  </si>
  <si>
    <t>半导体产业链*</t>
  </si>
  <si>
    <t>稳定</t>
  </si>
  <si>
    <t>结果仅供人工复核。</t>
  </si>
  <si>
    <t>已生成</t>
  </si>
  <si>
    <t>集成电路设计*</t>
  </si>
  <si>
    <t>基本面推断置信度较低，行业位置尚不清晰，需要人工复核。</t>
  </si>
  <si>
    <t>元器件</t>
  </si>
  <si>
    <t>集成电路与电子元器件*</t>
  </si>
  <si>
    <t>承压</t>
  </si>
  <si>
    <t>互联网</t>
  </si>
  <si>
    <t>互联网游戏*</t>
  </si>
  <si>
    <t>仅复核</t>
  </si>
  <si>
    <t>IT设备</t>
  </si>
  <si>
    <t>IT设备与云计算基础设施*</t>
  </si>
  <si>
    <t>集成电路测试服务*</t>
  </si>
  <si>
    <t>文娱消费品*</t>
  </si>
  <si>
    <t>摩托车</t>
  </si>
  <si>
    <t>电动出行与户外休闲车辆*</t>
  </si>
  <si>
    <t>IT设备与计算服务*</t>
  </si>
  <si>
    <t>农药化肥</t>
  </si>
  <si>
    <t>煤化工产业链*</t>
  </si>
  <si>
    <t>300604</t>
  </si>
  <si>
    <t>长川科技</t>
  </si>
  <si>
    <t>半导体设备*</t>
  </si>
  <si>
    <t>公司主营集成电路专用设备，受益于半导体设备国产替代趋势，营收和利润高速增长，但经营现金流为负需关注。*</t>
  </si>
  <si>
    <t>688343</t>
  </si>
  <si>
    <t>云天励飞</t>
  </si>
  <si>
    <t>软件服务</t>
  </si>
  <si>
    <t>人工智能产业链*</t>
  </si>
  <si>
    <t>公司以人工智能算法和芯片为核心，提供软硬件解决方案，收入增长但持续亏损，研发投入高，需关注盈利改善。*</t>
  </si>
  <si>
    <t>301379</t>
  </si>
  <si>
    <t>天山电子</t>
  </si>
  <si>
    <t>液晶显示产业链*</t>
  </si>
  <si>
    <t>公司主营专业显示领域定制化液晶显示屏及模组，拥有全自动生产线和一站式生产能力，但近期净利润下滑明显，需关注盈利改善情况。*</t>
  </si>
  <si>
    <t>300654</t>
  </si>
  <si>
    <t>世纪天鸿</t>
  </si>
  <si>
    <t>出版业</t>
  </si>
  <si>
    <t>教育出版*</t>
  </si>
  <si>
    <t>公司主营助学读物策划发行，同时拓展教育信息化业务，但营收下滑、经营现金流为负，需关注转型进展。*</t>
  </si>
  <si>
    <t>002236</t>
  </si>
  <si>
    <t>大华股份</t>
  </si>
  <si>
    <t>安防视频监控*</t>
  </si>
  <si>
    <t>公司主营安防视频监控产品，受益于智慧城市和物联网发展，但需关注现金流压力。*</t>
  </si>
  <si>
    <t>688019</t>
  </si>
  <si>
    <t>安集科技</t>
  </si>
  <si>
    <t>半导体材料*</t>
  </si>
  <si>
    <t>公司主营关键半导体材料研发和产业化，产品包括化学机械抛光液和光刻胶去除剂，应用于集成电路制造和先进封装，实现进口替代。财务状态稳定，营收和利润增长良好。*</t>
  </si>
  <si>
    <t>001314</t>
  </si>
  <si>
    <t>亿道信息</t>
  </si>
  <si>
    <t>消费电子产业链*</t>
  </si>
  <si>
    <t>公司主营行业智能终端平板产品及技术开发服务，受益于工业数字化和物联网终端需求增长，但经营现金流为负，需关注资金周转。*</t>
  </si>
  <si>
    <t>002965</t>
  </si>
  <si>
    <t>祥鑫科技</t>
  </si>
  <si>
    <t>汽车配件</t>
  </si>
  <si>
    <t>汽车零部件及模具制造*</t>
  </si>
  <si>
    <t>公司主营精密冲压模具及金属结构件，受益于汽车轻量化和新能源趋势，但近期财务表现承压，净利润亏损，经营现金流为负，需关注盈利改善。*</t>
  </si>
  <si>
    <t>财务表现承压且基本面推断置信度较低，需要人工复核。</t>
  </si>
  <si>
    <t>300287</t>
  </si>
  <si>
    <t>飞利信</t>
  </si>
  <si>
    <t>信息技术服务*</t>
  </si>
  <si>
    <t>公司主营智能会议系统、电子政务、建筑智能化及IT产品销售，并拓展智慧城市、大数据、互联网教育领域，但近期财务表现不佳，营收和净利润下滑，处于亏损状态。*</t>
  </si>
  <si>
    <t>300458</t>
  </si>
  <si>
    <t>全志科技</t>
  </si>
  <si>
    <t>仅依据输入主营、财务和量化摘要归纳。*</t>
  </si>
  <si>
    <t>300145</t>
  </si>
  <si>
    <t>南方泵业</t>
  </si>
  <si>
    <t>机械基件</t>
  </si>
  <si>
    <t>流体设备与环保服务*</t>
  </si>
  <si>
    <t>公司主营通用设备制造、污水及污泥处理、环保咨询与设计，受益于节能环保和绿色方案趋势，财务表现稳定但经营现金流为负，需关注现金流改善。*</t>
  </si>
  <si>
    <t>300821</t>
  </si>
  <si>
    <t>东岳硅材</t>
  </si>
  <si>
    <t>化工原料</t>
  </si>
  <si>
    <t>有机硅产业链*</t>
  </si>
  <si>
    <t>公司可能受益于有机硅产业链一体化布局和深加工产品占比提升，但需核验具体财务表现。*</t>
  </si>
  <si>
    <t>002409</t>
  </si>
  <si>
    <t>雅克科技</t>
  </si>
  <si>
    <t>低</t>
  </si>
  <si>
    <t>化工新材料*</t>
  </si>
  <si>
    <t>公司主营磷酸酯阻燃剂和橡塑助剂，同时涉足电子半导体材料和深冷复合材料，受益于新材料国产化趋势，但需关注经营现金流为负的风险。*</t>
  </si>
  <si>
    <t>002457</t>
  </si>
  <si>
    <t>青龙管业</t>
  </si>
  <si>
    <t>塑料</t>
  </si>
  <si>
    <t>输节水管道制造*</t>
  </si>
  <si>
    <t>公司主营供水排水管道，受益于水利投资，但近期财务表现承压，营收下滑，净利润亏损，经营现金流为负。*</t>
  </si>
  <si>
    <t>301151</t>
  </si>
  <si>
    <t>冠龙节能</t>
  </si>
  <si>
    <t>阀门制造*</t>
  </si>
  <si>
    <t>公司主营节水阀门，但近期财务数据显示营收下滑、净利润亏损，需关注盈利能力恢复。*</t>
  </si>
  <si>
    <t>603726</t>
  </si>
  <si>
    <t>朗迪集团</t>
  </si>
  <si>
    <t>家用电器</t>
  </si>
  <si>
    <t>信息不足*</t>
  </si>
  <si>
    <t>分析失败</t>
  </si>
  <si>
    <t>已阻断</t>
  </si>
  <si>
    <t>301356</t>
  </si>
  <si>
    <t>天振股份</t>
  </si>
  <si>
    <t>家居用品</t>
  </si>
  <si>
    <t>地面装饰材料*</t>
  </si>
  <si>
    <t>公司主营新型聚氯乙烯复合材料地板，受益于绿色环保趋势，但收入下滑，需关注后续增长。*</t>
  </si>
  <si>
    <t>挂单与仓位</t>
  </si>
  <si>
    <t>价格与仓位均由本地规则计算；按深度复核排名排列。</t>
  </si>
  <si>
    <t>保守价</t>
  </si>
  <si>
    <t>均衡价</t>
  </si>
  <si>
    <t>积极价</t>
  </si>
  <si>
    <t>最高接受价</t>
  </si>
  <si>
    <t>第一目标价</t>
  </si>
  <si>
    <t>第一目标收益比</t>
  </si>
  <si>
    <t>第二目标收益比</t>
  </si>
  <si>
    <t>当前收益比</t>
  </si>
  <si>
    <t>建议资金</t>
  </si>
  <si>
    <t>预计最大损失</t>
  </si>
  <si>
    <t>说明</t>
  </si>
  <si>
    <t>未核验信息已按规则降权；目标日涨跌停价为规则估算；建议金额不足一手；基本面信息含未核验推断</t>
  </si>
  <si>
    <t>未核验信息已按规则降权；目标日涨跌停价为规则估算；基本面信息含未核验推断</t>
  </si>
  <si>
    <t>未核验信息已按规则降权；目标日涨跌停价为规则估算；人工关注股，未进入模型重点名单；建议金额不足一手；基本面信息含未核验推断</t>
  </si>
  <si>
    <t>未核验信息已按规则降权；目标日涨跌停价为规则估算；人工关注股，未进入模型重点名单；基本面信息含未核验推断</t>
  </si>
  <si>
    <t>未核验信息已按规则降权；目标日涨跌停价为规则估算；基本面补全未通过；人工关注股，未进入模型重点名单；风险规则阻断或缺少有效参考价</t>
  </si>
  <si>
    <t>基本面摘要</t>
  </si>
  <si>
    <t>星号表示基于现有主营和结构化信息作出的保守归纳，建议重点核验核心逻辑与失效条件。</t>
  </si>
  <si>
    <t>链条位置</t>
  </si>
  <si>
    <t>主营业务</t>
  </si>
  <si>
    <t>核心产品</t>
  </si>
  <si>
    <t>概念标签</t>
  </si>
  <si>
    <t>结构性方向</t>
  </si>
  <si>
    <t>潜在优势</t>
  </si>
  <si>
    <t>行业趋势</t>
  </si>
  <si>
    <t>失效条件</t>
  </si>
  <si>
    <t>财务说明</t>
  </si>
  <si>
    <t>人工复核</t>
  </si>
  <si>
    <t>多环节*</t>
  </si>
  <si>
    <t>全球领先的集成电路晶圆代工企业之一，也是中国大陆技术最先进、规模最大、配套服务最完善、跨国经营的专业晶圆代工企业，主要为客户提供0.35微米至14纳米多种技术节点、不同工艺平台的集成电路晶圆代工及配套服务。*</t>
  </si>
  <si>
    <t>集成电路晶圆代工服务；设计服务与IP支持；光掩模制造；凸块加工及测试</t>
  </si>
  <si>
    <t>消费电子概念；半导体制造*；晶圆代工*</t>
  </si>
  <si>
    <t>半导体制造国产替代与先进制程升级*</t>
  </si>
  <si>
    <t>可能具备先进制程与规模优势，但仍需核验。*</t>
  </si>
  <si>
    <t>半导体行业长期受益于数字化、智能化趋势，晶圆代工需求持续增长。*</t>
  </si>
  <si>
    <t>主营或财务规则状态显著恶化；技术节点落后于竞争对手；客户订单大幅下滑</t>
  </si>
  <si>
    <t>财务状态稳定，基于营收、利润、现金流等指标稳定，无重大规则风险。*</t>
  </si>
  <si>
    <t>是</t>
  </si>
  <si>
    <t>智能应用处理器 系统级芯片 及周边配套芯片的设计、研发与销售。*</t>
  </si>
  <si>
    <t>智能应用处理器系统级芯片；周边配套芯片</t>
  </si>
  <si>
    <t>消费电子概念；人工智能芯片*；物联网芯片*；智能硬件芯片*</t>
  </si>
  <si>
    <t>智能应用处理器系统级芯片及周边芯片的设计与销售，契合人工智能、物联网、智能硬件等结构性方向。*</t>
  </si>
  <si>
    <t>可能具备系统级芯片设计能力及算法研究团队，但仍需核验。*</t>
  </si>
  <si>
    <t>万物互联与人工智能场景落地推动智能芯片需求增长。*</t>
  </si>
  <si>
    <t>主营或财务规则状态显著恶化</t>
  </si>
  <si>
    <t>财务状态为稳定，基于营收、净利润、毛利率等指标均表现稳定，无重大规则风险。*</t>
  </si>
  <si>
    <t>高可靠军用电子产品的研发、生产和销售*</t>
  </si>
  <si>
    <t>图形图像处理系统；小型雷达系统；图传数据链系统；消费芯片</t>
  </si>
  <si>
    <t>图形处理芯片*；国产芯片*；军民融合*</t>
  </si>
  <si>
    <t>国产化替代与自主可控*</t>
  </si>
  <si>
    <t>可能具备相关能力，但仍需核验。*</t>
  </si>
  <si>
    <t>半导体国产化与军工信息化*</t>
  </si>
  <si>
    <t>财务状态为承压，主要因净利润亏损和经营性现金流为负，但资产负债率较低，财务风险可控。*</t>
  </si>
  <si>
    <t>互联网游戏、互联网社区工具为主,正在布局互联网金融、互联网医疗等其它互联网领域*</t>
  </si>
  <si>
    <t>互联网游戏；互联网社区工具</t>
  </si>
  <si>
    <t>游戏研发*；游戏运营*；网络游戏*</t>
  </si>
  <si>
    <t>游戏行业精品化、年轻化趋势*</t>
  </si>
  <si>
    <t>可能具备自主研发和运营能力，但仍需核验。*</t>
  </si>
  <si>
    <t>游戏行业持续增长，精品化、全球化趋势明显。*</t>
  </si>
  <si>
    <t>财务状态稳定，营收、利润高速增长，毛利率高，现金流健康，负债率低。*</t>
  </si>
  <si>
    <t>计算机软、硬件及其他信息产品的开发、生产、销售以及系统集成等。*</t>
  </si>
  <si>
    <t>计算机软硬件；系统集成</t>
  </si>
  <si>
    <t>云计算*；大数据*；智慧城市*；信创*</t>
  </si>
  <si>
    <t>云计算与大数据基础设施服务商*</t>
  </si>
  <si>
    <t>企业数字化转型与云化趋势*</t>
  </si>
  <si>
    <t>财务状态稳定，但经营现金流为负，需关注现金流改善情况。*</t>
  </si>
  <si>
    <t>集成电路测试方案开发、12 英寸及 8 英寸晶圆测试服务(简称“中测”、“晶圆测试”或“CP”)、芯片成品测试服务(简称“成测”、“成品测试”或“FT”)以及与集成电路测试相关的配套服务。*</t>
  </si>
  <si>
    <t>集成电路测试方案开发；12英寸及8英寸晶圆测试服务；芯片成品测试服务；集成电路测试配套服务</t>
  </si>
  <si>
    <t>集成电路测试*；第三方测试服务*；晶圆测试*；芯片成品测试*</t>
  </si>
  <si>
    <t>集成电路测试服务是半导体产业链中不可或缺的一环，受益于芯片设计复杂度和出货量增长。*</t>
  </si>
  <si>
    <t>可能具备独立第三方测试服务能力，但仍需核验。*</t>
  </si>
  <si>
    <t>集成电路测试需求随芯片设计复杂度提升和先进制程演进而持续增长。*</t>
  </si>
  <si>
    <t>财务状态为稳定，基于营收增长27.87%、净利润增长145.07%、毛利率27.40%、净利率2.30%、净资产收益率 0.25%、负债率40.00%等指标，未见重大规则风险。*</t>
  </si>
  <si>
    <t>扑克牌的生产销售业务和网络游戏的开发运营销售业务。*</t>
  </si>
  <si>
    <t>扑克牌；移动游戏</t>
  </si>
  <si>
    <t>扑克牌制造*；移动游戏研发运营*；互联网营销*</t>
  </si>
  <si>
    <t>消费娱乐与互联网数字化融合*</t>
  </si>
  <si>
    <t>可能具备品牌和渠道优势，但仍需核验。*</t>
  </si>
  <si>
    <t>休闲娱乐消费增长与游戏行业数字化趋势*</t>
  </si>
  <si>
    <t>财务状态稳定，营收增长但净利润下滑，现金流健康，负债率低。*</t>
  </si>
  <si>
    <t>户外休闲娱乐兼具短途交通代步功能的汽动车、电动车及其配件、用品的研发、生产和销售。*</t>
  </si>
  <si>
    <t>电动低速车；电动自行车；电动滑板车；电动平衡车；全地形车；越野摩托车</t>
  </si>
  <si>
    <t>电动出行*；户外休闲*；动力运动*</t>
  </si>
  <si>
    <t>电动化与户外休闲趋势*</t>
  </si>
  <si>
    <t>可能具备产品线丰富和国际化布局能力，但仍需核验。*</t>
  </si>
  <si>
    <t>电动两轮车和全地形车市场持续增长，户外休闲需求扩大。*</t>
  </si>
  <si>
    <t>财务状态为稳定，营收同比增长65.66%，净利润同比增长104.50%，毛利率40.90%，净利率16.65%，净资产收益率 4.77%，负债率37.22%，经营现金流健康。*</t>
  </si>
  <si>
    <t>研究、开发、生产制造高性能计算机、通用服务器及存储产品,并围绕高端计算机提供软件开发、系统集成与技术服务。*</t>
  </si>
  <si>
    <t>高性能计算机；通用服务器；存储产品；软件开发；系统集成；技术服务</t>
  </si>
  <si>
    <t>高性能计算*；服务器*；存储*；云计算*；大数据*；IT基础设施*</t>
  </si>
  <si>
    <t>高性能计算与IT基础设施国产化*</t>
  </si>
  <si>
    <t>可能具备高性能计算机核心技术及产业化能力，但仍需核验。*</t>
  </si>
  <si>
    <t>高性能计算、云计算、大数据及国产替代长期趋势*</t>
  </si>
  <si>
    <t>财务状态为稳定，营收同比增长23.71%，净利润同比增长22.19%，扣非净利润同比增长53.3%，毛利率26.56%，净利率6.00%，净资产收益率 1.02%，资产负债率41.14%，经营性现金流为负，但整体财务指标未见重大风险。*</t>
  </si>
  <si>
    <t>公司是一家以煤气化为产业链源头的综合性化工企业。煤化工是以煤为原料，经过化学加工使煤转化为气体、液体、固体燃料及化学品，进一步生产出各种化工产品的工业。*</t>
  </si>
  <si>
    <t>煤化工产品（气体、液体、固体燃料及化学品）；化肥；化工原料；化工产品</t>
  </si>
  <si>
    <t>煤化工*；化肥*</t>
  </si>
  <si>
    <t>煤化工产业链一体化*</t>
  </si>
  <si>
    <t>可能具备煤化工产业链一体化优势，但仍需核验。*</t>
  </si>
  <si>
    <t>煤化工行业向高端化、精细化、绿色化发展*</t>
  </si>
  <si>
    <t>财务状态稳定，基于营收、利润、现金流等指标均稳定，无重大规则风险。*</t>
  </si>
  <si>
    <t>主要从事集成电路专用设备的研发、生产和销售*</t>
  </si>
  <si>
    <t>集成电路专用设备；半导体测试机；半导体分选机</t>
  </si>
  <si>
    <t>半导体设备*；集成电路装备*</t>
  </si>
  <si>
    <t>半导体设备国产替代*</t>
  </si>
  <si>
    <t>可能具备自主研发能力，但仍需核验。*</t>
  </si>
  <si>
    <t>集成电路装备国产化长期趋势*</t>
  </si>
  <si>
    <t>财务状态稳定，营收和利润高速增长，但经营现金流为负，现金流压力较大。*</t>
  </si>
  <si>
    <t>以人工智能算法、芯片技术为核心，为客户提供算法软件、芯片等自研核心产品，并可根据客户需求，将自身核心产品，外购的定制化或标准化硬件产品、安装施工服务等打包以解决方案的形式交付客户。*</t>
  </si>
  <si>
    <t>人工智能算法软件；人工智能芯片</t>
  </si>
  <si>
    <t>消费电子概念；人工智能芯片*；算法软件*；端云协同*</t>
  </si>
  <si>
    <t>人工智能技术在各行业的应用落地*</t>
  </si>
  <si>
    <t>可能具备算法芯片化及端云协同技术能力，但仍需核验。*</t>
  </si>
  <si>
    <t>人工智能技术在各行业的渗透与数字化转型*</t>
  </si>
  <si>
    <t>财务状态稳定，但净利润为负，盈利能力承压，收入增长稳定，现金流和杠杆水平稳定。*</t>
  </si>
  <si>
    <t>从事专业显示领域定制化液晶显示屏及显示模组的研发、设计、生产和销售，主要产品包括单色液晶显示屏、单色液晶显示模组及彩色液晶显示模组*</t>
  </si>
  <si>
    <t>单色液晶显示屏；单色液晶显示模组；彩色液晶显示模组</t>
  </si>
  <si>
    <t>消费电子概念；液晶显示*；显示模组*</t>
  </si>
  <si>
    <t>专业显示领域定制化液晶显示屏及显示模组*</t>
  </si>
  <si>
    <t>具备从液晶显示面板至液晶显示模组/薄膜晶体管模组的配套产业链，可能具备成本与品质竞争力，但仍需核验。*</t>
  </si>
  <si>
    <t>液晶显示技术持续向高端化、多元化发展，车载、工控等专业显示领域需求增长。*</t>
  </si>
  <si>
    <t>财务状态为稳定，基于规则判断无重大风险，但净利润同比下滑45%，需关注后续财报。*</t>
  </si>
  <si>
    <t>助学读物的策划、设计、制作与发行,为我国中小学师生提供学习和备考解决方案*</t>
  </si>
  <si>
    <t>助学读物</t>
  </si>
  <si>
    <t>民营出版*；教育信息化*</t>
  </si>
  <si>
    <t>教育出版与数字化教育服务*</t>
  </si>
  <si>
    <t>教育出版数字化与在线教育发展*</t>
  </si>
  <si>
    <t>财务状态稳定，但经营现金流为负，扣非净利润下滑，需关注现金流改善情况。*</t>
  </si>
  <si>
    <t>安防视频监控产品的研发、生产和销售。*</t>
  </si>
  <si>
    <t>安防视频监控产品</t>
  </si>
  <si>
    <t>安防*；视频监控*；智慧物联*</t>
  </si>
  <si>
    <t>视频监控智能化与智慧物联*</t>
  </si>
  <si>
    <t>可能具备研发与全球渠道优势，但仍需核验。*</t>
  </si>
  <si>
    <t>安防行业向智能化、物联网化转型*</t>
  </si>
  <si>
    <t>财务状态稳定，但经营性现金流为负，需关注。*</t>
  </si>
  <si>
    <t>关键半导体材料的研发和产业化。*</t>
  </si>
  <si>
    <t>化学机械抛光液；光刻胶去除剂</t>
  </si>
  <si>
    <t>半导体材料*；集成电路*；先进封装*；进口替代*</t>
  </si>
  <si>
    <t>半导体材料国产化*</t>
  </si>
  <si>
    <t>集成电路制造和先进封装领域对关键半导体材料的需求增长*</t>
  </si>
  <si>
    <t>为客户提供行业智能终端平板产品和相关技术开发服务。*</t>
  </si>
  <si>
    <t>行业智能终端平板产品；技术开发服务</t>
  </si>
  <si>
    <t>消费电子概念；工业平板电脑*；嵌入式系统*；物联网终端*</t>
  </si>
  <si>
    <t>行业智能终端定制化解决方案*</t>
  </si>
  <si>
    <t>可能具备定制化研发和快速响应能力，但仍需核验。*</t>
  </si>
  <si>
    <t>工业数字化与物联网终端需求增长*</t>
  </si>
  <si>
    <t>财务状态稳定，营收和利润高增长，但经营现金流为负，需关注现金流改善情况。*</t>
  </si>
  <si>
    <t>精密冲压模具及金属结构件的研发、生产和销售。*</t>
  </si>
  <si>
    <t>精密冲压模具；金属结构件</t>
  </si>
  <si>
    <t>汽车模具*；新能源汽车轻量化*</t>
  </si>
  <si>
    <t>汽车轻量化与新能源零部件*</t>
  </si>
  <si>
    <t>可能具备精密冲压模具和金属结构件一体化解决方案能力，但仍需核验。*</t>
  </si>
  <si>
    <t>汽车轻量化及新能源汽车渗透率提升带动金属结构件需求增长。*</t>
  </si>
  <si>
    <t>财务状态为承压，主要因净利润亏损和经营现金流为负，但营收仍增长17.15%。*</t>
  </si>
  <si>
    <t>向用户提供智能会议系统整体解决方案及相关服务,按其具体内容可以划分为智能会议系统整体解决方案、电子政务信息管理系统、建筑智能化工程和信息系统集成、IT产品销售。*</t>
  </si>
  <si>
    <t>智能会议系统整体解决方案；电子政务信息管理系统；建筑智能化工程；信息系统集成；IT产品销售</t>
  </si>
  <si>
    <t>智慧城市*；大数据*；互联网教育*</t>
  </si>
  <si>
    <t>智慧城市、大数据、互联网教育*</t>
  </si>
  <si>
    <t>可能具备智能会议系统核心技术及整体解决方案能力，但仍需核验。*</t>
  </si>
  <si>
    <t>数字化转型、智慧城市建设、大数据应用*</t>
  </si>
  <si>
    <t>财务状态为稳定，但盈利能力承压（净利润亏损），成长性稳定，现金流稳定，杠杆稳定。*</t>
  </si>
  <si>
    <t>从事系统级超大规模数模混合 系统级芯片 及智能电源管理芯片的设计, 主要产品为智能终端应用处理器芯片和智能电源管理芯片*</t>
  </si>
  <si>
    <t>智能终端应用处理器芯片；智能电源管理芯片</t>
  </si>
  <si>
    <t>系统级芯片芯片*；智能应用处理器*；电源管理芯片*</t>
  </si>
  <si>
    <t>仅描述与主营相关的结构性方向。*</t>
  </si>
  <si>
    <t>仅描述长期结构性趋势。*</t>
  </si>
  <si>
    <t>沿用规则财务状态并解释可见指标。*</t>
  </si>
  <si>
    <t>通用设备制造、污水及污泥处理、环保咨询与环保设计*</t>
  </si>
  <si>
    <t>泵及真空设备；电机；模具；紧固件；通用零部件；水资源专用机械设备；配电开关控制设备；通用设备；环境保护专用设备</t>
  </si>
  <si>
    <t>节能泵*；环保设备*；污水处理*；固废处置*；环境工程*</t>
  </si>
  <si>
    <t>节能泵及绿色方案、环保综合服务*</t>
  </si>
  <si>
    <t>可能具备流体设备制造与环保技术结合的能力，但仍需核验。*</t>
  </si>
  <si>
    <t>节能环保、水资源综合利用、固废资源化*</t>
  </si>
  <si>
    <t>财务状态稳定，盈利能力、成长性、杠杆均稳定，但经营现金流为负，现金流承压。*</t>
  </si>
  <si>
    <t>有机硅材料的研发、生产和销售。*</t>
  </si>
  <si>
    <t>有机硅单体；硅橡胶；硅油；气相白炭黑；有机硅中间体</t>
  </si>
  <si>
    <t>有机硅*；化工新材料*；国产替代*</t>
  </si>
  <si>
    <t>有机硅材料作为高性能化工新材料，受益于下游应用领域拓展和国产替代趋势。*</t>
  </si>
  <si>
    <t>可能具备从金属硅粉加工到有机硅单体、中间体及下游深加工产品的一体化生产能力，需核验规模优势和技术领先性。*</t>
  </si>
  <si>
    <t>有机硅行业向高性能、高附加值深加工产品方向发展，下游应用领域持续拓展。*</t>
  </si>
  <si>
    <t>财务状态稳定，基于营收、净利润、毛利率等指标稳定，无重大规则风险。*</t>
  </si>
  <si>
    <t>磷酸酯阻燃剂和其他橡塑助剂的研发、生产和销售*</t>
  </si>
  <si>
    <t>磷酸酯阻燃剂；橡塑助剂</t>
  </si>
  <si>
    <t>电子半导体材料*；深冷复合材料*；磷系阻燃剂*</t>
  </si>
  <si>
    <t>新材料研发与生产*</t>
  </si>
  <si>
    <t>电子半导体材料国产化及高端装备复合材料需求增长*</t>
  </si>
  <si>
    <t>各类供水、排水管道的研发、制造和销售。*</t>
  </si>
  <si>
    <t>各类供水、排水管道</t>
  </si>
  <si>
    <t>水利工程*；管道制造*；节水灌溉*</t>
  </si>
  <si>
    <t>输节水工程全生命周期服务*</t>
  </si>
  <si>
    <t>水利基础设施投资与节水改造长期趋势*</t>
  </si>
  <si>
    <t>财务状态为承压，因净利润亏损、经营现金流为负。*</t>
  </si>
  <si>
    <t>节水阀门的研发、设计、生产和销售。*</t>
  </si>
  <si>
    <t>节水阀门</t>
  </si>
  <si>
    <t>节水阀门*；给排水阀门*；工业阀门*；自动控制系统*；环保设备*</t>
  </si>
  <si>
    <t>节水阀门与水务基础设施相关*</t>
  </si>
  <si>
    <t>可能具备研发制造能力，但仍需核验。*</t>
  </si>
  <si>
    <t>水务基础设施建设和节水需求增长*</t>
  </si>
  <si>
    <t>财务状态稳定，但存在净亏损，营收同比下降，毛利率尚可，现金流质量较好。*</t>
  </si>
  <si>
    <t>信息不足</t>
  </si>
  <si>
    <t>公司主营空调风叶、风机(包括机壳、风叶和出风口)的研发和生产,通过自主研发、与下游厂商合作开发生产空调及其他通风系统中的各类风叶、风机,是专业的空调风叶、风机设计制造企业</t>
  </si>
  <si>
    <t>新型 聚氯乙烯 复合材料地板的研发、生产和销售*</t>
  </si>
  <si>
    <t>新型聚氯乙烯复合材料地板</t>
  </si>
  <si>
    <t>绿色环保建材*；新材料*</t>
  </si>
  <si>
    <t>绿色环保地面装饰材料*</t>
  </si>
  <si>
    <t>可能具备研发和专利优势，但仍需核验。*</t>
  </si>
  <si>
    <t>绿色环保建材替代传统材料*</t>
  </si>
  <si>
    <t>财务状态稳定，营收下滑但利润增长，现金流质量较低。*</t>
  </si>
  <si>
    <t>量化前100</t>
  </si>
  <si>
    <t>用于快速浏览，不包含全市场技术字段。</t>
  </si>
  <si>
    <t>量化总分</t>
  </si>
  <si>
    <t>技术得分</t>
  </si>
  <si>
    <t>资金得分</t>
  </si>
  <si>
    <t>情绪得分</t>
  </si>
  <si>
    <t>动量得分</t>
  </si>
  <si>
    <t>风险得分</t>
  </si>
  <si>
    <t>进入二筛</t>
  </si>
  <si>
    <t>进入重点候选</t>
  </si>
  <si>
    <t>300533</t>
  </si>
  <si>
    <t>冰川网络</t>
  </si>
  <si>
    <t>否</t>
  </si>
  <si>
    <t>600129</t>
  </si>
  <si>
    <t>太极集团</t>
  </si>
  <si>
    <t>中成药</t>
  </si>
  <si>
    <t>300759</t>
  </si>
  <si>
    <t>康龙化成</t>
  </si>
  <si>
    <t>化学制药</t>
  </si>
  <si>
    <t>300043</t>
  </si>
  <si>
    <t>星辉娱乐</t>
  </si>
  <si>
    <t>300418</t>
  </si>
  <si>
    <t>昆仑万维</t>
  </si>
  <si>
    <t>688222</t>
  </si>
  <si>
    <t>成都先导</t>
  </si>
  <si>
    <t>000034</t>
  </si>
  <si>
    <t>神州数码</t>
  </si>
  <si>
    <t>300725</t>
  </si>
  <si>
    <t>药石科技</t>
  </si>
  <si>
    <t>603118</t>
  </si>
  <si>
    <t>共进股份</t>
  </si>
  <si>
    <t>通信设备</t>
  </si>
  <si>
    <t>000518</t>
  </si>
  <si>
    <t>四环生物</t>
  </si>
  <si>
    <t>生物制药</t>
  </si>
  <si>
    <t>000063</t>
  </si>
  <si>
    <t>中兴通讯</t>
  </si>
  <si>
    <t>600521</t>
  </si>
  <si>
    <t>华海药业</t>
  </si>
  <si>
    <t>002828</t>
  </si>
  <si>
    <t>贝肯能源</t>
  </si>
  <si>
    <t>石油开采</t>
  </si>
  <si>
    <t>300684</t>
  </si>
  <si>
    <t>中石科技</t>
  </si>
  <si>
    <t>688385</t>
  </si>
  <si>
    <t>复旦微电</t>
  </si>
  <si>
    <t>300363</t>
  </si>
  <si>
    <t>博腾股份</t>
  </si>
  <si>
    <t>002739</t>
  </si>
  <si>
    <t>儒意电影</t>
  </si>
  <si>
    <t>影视音像</t>
  </si>
  <si>
    <t>300105</t>
  </si>
  <si>
    <t>龙源技术</t>
  </si>
  <si>
    <t>环境保护</t>
  </si>
  <si>
    <t>002396</t>
  </si>
  <si>
    <t>星网锐捷</t>
  </si>
  <si>
    <t>001287</t>
  </si>
  <si>
    <t>中电港</t>
  </si>
  <si>
    <t>603339</t>
  </si>
  <si>
    <t>四方科技</t>
  </si>
  <si>
    <t>专用机械</t>
  </si>
  <si>
    <t>600584</t>
  </si>
  <si>
    <t>长电科技</t>
  </si>
  <si>
    <t>605377</t>
  </si>
  <si>
    <t>华旺科技</t>
  </si>
  <si>
    <t>造纸</t>
  </si>
  <si>
    <t>600756</t>
  </si>
  <si>
    <t>浪潮软件</t>
  </si>
  <si>
    <t>300454</t>
  </si>
  <si>
    <t>深信服</t>
  </si>
  <si>
    <t>300251</t>
  </si>
  <si>
    <t>光线传媒</t>
  </si>
  <si>
    <t>688036</t>
  </si>
  <si>
    <t>传音控股</t>
  </si>
  <si>
    <t>002791</t>
  </si>
  <si>
    <t>坚朗五金</t>
  </si>
  <si>
    <t>其他建材</t>
  </si>
  <si>
    <t>688202</t>
  </si>
  <si>
    <t>美迪西</t>
  </si>
  <si>
    <t>医疗保健</t>
  </si>
  <si>
    <t>300990</t>
  </si>
  <si>
    <t>同飞股份</t>
  </si>
  <si>
    <t>002303</t>
  </si>
  <si>
    <t>美盈森</t>
  </si>
  <si>
    <t>301516</t>
  </si>
  <si>
    <t>中远通</t>
  </si>
  <si>
    <t>电气设备</t>
  </si>
  <si>
    <t>001365</t>
  </si>
  <si>
    <t>天海电子</t>
  </si>
  <si>
    <t>600120</t>
  </si>
  <si>
    <t>浙江东方</t>
  </si>
  <si>
    <t>多元金融</t>
  </si>
  <si>
    <t>603087</t>
  </si>
  <si>
    <t>甘李药业</t>
  </si>
  <si>
    <t>920275</t>
  </si>
  <si>
    <t>驱动力</t>
  </si>
  <si>
    <t>农业综合</t>
  </si>
  <si>
    <t>002317</t>
  </si>
  <si>
    <t>众生药业</t>
  </si>
  <si>
    <t>600879</t>
  </si>
  <si>
    <t>航天电子</t>
  </si>
  <si>
    <t>航空</t>
  </si>
  <si>
    <t>000779</t>
  </si>
  <si>
    <t>甘咨询</t>
  </si>
  <si>
    <t>建筑工程</t>
  </si>
  <si>
    <t>300588</t>
  </si>
  <si>
    <t>熙菱信息</t>
  </si>
  <si>
    <t>603341</t>
  </si>
  <si>
    <t>龙旗科技</t>
  </si>
  <si>
    <t>002437</t>
  </si>
  <si>
    <t>誉衡药业</t>
  </si>
  <si>
    <t>688103</t>
  </si>
  <si>
    <t>国力电子</t>
  </si>
  <si>
    <t>002174</t>
  </si>
  <si>
    <t>游族网络</t>
  </si>
  <si>
    <t>300528</t>
  </si>
  <si>
    <t>幸福蓝海</t>
  </si>
  <si>
    <t>001298</t>
  </si>
  <si>
    <t>好上好</t>
  </si>
  <si>
    <t>002517</t>
  </si>
  <si>
    <t>恺英网络</t>
  </si>
  <si>
    <t>301080</t>
  </si>
  <si>
    <t>百普赛斯</t>
  </si>
  <si>
    <t>688293</t>
  </si>
  <si>
    <t>奥浦迈</t>
  </si>
  <si>
    <t>300214</t>
  </si>
  <si>
    <t>日科化学</t>
  </si>
  <si>
    <t>301520</t>
  </si>
  <si>
    <t>万邦医药</t>
  </si>
  <si>
    <t>688629</t>
  </si>
  <si>
    <t>华丰科技</t>
  </si>
  <si>
    <t>301015</t>
  </si>
  <si>
    <t>百洋医药</t>
  </si>
  <si>
    <t>医药商业</t>
  </si>
  <si>
    <t>688197</t>
  </si>
  <si>
    <t>首药控股</t>
  </si>
  <si>
    <t>301161</t>
  </si>
  <si>
    <t>唯万密封</t>
  </si>
  <si>
    <t>工程机械</t>
  </si>
  <si>
    <t>300071</t>
  </si>
  <si>
    <t>福石控股</t>
  </si>
  <si>
    <t>广告包装</t>
  </si>
  <si>
    <t>301202</t>
  </si>
  <si>
    <t>朗威股份</t>
  </si>
  <si>
    <t>003020</t>
  </si>
  <si>
    <t>立方制药</t>
  </si>
  <si>
    <t>688235</t>
  </si>
  <si>
    <t>百济神州</t>
  </si>
  <si>
    <t>688311</t>
  </si>
  <si>
    <t>盟升电子</t>
  </si>
  <si>
    <t>600288</t>
  </si>
  <si>
    <t>大恒科技</t>
  </si>
  <si>
    <t>301509</t>
  </si>
  <si>
    <t>金凯生科</t>
  </si>
  <si>
    <t>600206</t>
  </si>
  <si>
    <t>有研新材</t>
  </si>
  <si>
    <t>603183</t>
  </si>
  <si>
    <t>建研院</t>
  </si>
  <si>
    <t>301392</t>
  </si>
  <si>
    <t>汇成真空</t>
  </si>
  <si>
    <t>688111</t>
  </si>
  <si>
    <t>金山办公</t>
  </si>
  <si>
    <t>300404</t>
  </si>
  <si>
    <t>博济医药</t>
  </si>
  <si>
    <t>300689</t>
  </si>
  <si>
    <t>澄天伟业</t>
  </si>
  <si>
    <t>300199</t>
  </si>
  <si>
    <t>翰宇药业</t>
  </si>
  <si>
    <t>603456</t>
  </si>
  <si>
    <t>九洲药业</t>
  </si>
  <si>
    <t>605208</t>
  </si>
  <si>
    <t>永茂泰</t>
  </si>
  <si>
    <t>铝</t>
  </si>
  <si>
    <t>603268</t>
  </si>
  <si>
    <t>松发股份</t>
  </si>
  <si>
    <t>船舶</t>
  </si>
  <si>
    <t>301108</t>
  </si>
  <si>
    <t>洁雅股份</t>
  </si>
  <si>
    <t>日用化工</t>
  </si>
  <si>
    <t>688153</t>
  </si>
  <si>
    <t>唯捷创芯</t>
  </si>
  <si>
    <t>688535</t>
  </si>
  <si>
    <t>华海诚科</t>
  </si>
  <si>
    <t>301307</t>
  </si>
  <si>
    <t>美利信</t>
  </si>
  <si>
    <t>301038</t>
  </si>
  <si>
    <t>深水规院</t>
  </si>
  <si>
    <t>600276</t>
  </si>
  <si>
    <t>恒瑞医药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</si>
</sst>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8"/>
      <color rgb="FFFFFFFF"/>
      <name val="Carlito"/>
    </font>
    <font>
      <sz val="10"/>
      <color rgb="FF2F6B66"/>
      <name val="Carlito"/>
    </font>
    <font>
      <b/>
      <sz val="10"/>
      <color rgb="FF17365D"/>
      <name val="Carlito"/>
    </font>
    <font>
      <b/>
      <sz val="18"/>
      <color rgb="FF1F2933"/>
      <name val="Carlito"/>
    </font>
    <font>
      <b/>
      <sz val="11"/>
      <color rgb="FFFFFFFF"/>
      <name val="Carlito"/>
    </font>
    <font>
      <b/>
      <sz val="10"/>
      <color rgb="FFFFFFFF"/>
      <name val="Carlito"/>
    </font>
    <font>
      <sz val="9"/>
      <color rgb="FF1F2933"/>
      <name val="Carlito"/>
    </font>
    <font>
      <sz val="11"/>
      <name val="Carlito"/>
    </font>
    <font>
      <sz val="9"/>
      <name val="宋体"/>
      <family val="3"/>
      <charset val="134"/>
    </font>
  </fonts>
  <fills count="9">
    <fill>
      <patternFill patternType="none"/>
    </fill>
    <fill>
      <patternFill patternType="gray125"/>
    </fill>
    <fill>
      <patternFill patternType="solid">
        <fgColor rgb="FF17365D"/>
      </patternFill>
    </fill>
    <fill>
      <patternFill patternType="solid">
        <fgColor rgb="FFF4F7F9"/>
      </patternFill>
    </fill>
    <fill>
      <patternFill patternType="solid">
        <fgColor rgb="FFDCEAF5"/>
      </patternFill>
    </fill>
    <fill>
      <patternFill patternType="solid">
        <fgColor rgb="FFE3F1E6"/>
      </patternFill>
    </fill>
    <fill>
      <patternFill patternType="solid">
        <fgColor rgb="FFF9DEDC"/>
      </patternFill>
    </fill>
    <fill>
      <patternFill patternType="solid">
        <fgColor rgb="FFFFF2CC"/>
      </patternFill>
    </fill>
    <fill>
      <patternFill patternType="solid">
        <fgColor rgb="FF2F6B66"/>
      </patternFill>
    </fill>
  </fills>
  <borders count="4">
    <border>
      <left/>
      <right/>
      <top/>
      <bottom/>
      <diagonal/>
    </border>
    <border>
      <left/>
      <right/>
      <top/>
      <bottom style="thin">
        <color rgb="FFD6DEE5"/>
      </bottom>
      <diagonal/>
    </border>
    <border>
      <left/>
      <right/>
      <top style="thin">
        <color rgb="FFD6DEE5"/>
      </top>
      <bottom style="thin">
        <color rgb="FFD6DEE5"/>
      </bottom>
      <diagonal/>
    </border>
    <border>
      <left/>
      <right/>
      <top style="thin">
        <color rgb="FFD6DEE5"/>
      </top>
      <bottom/>
      <diagonal/>
    </border>
  </borders>
  <cellStyleXfs count="2">
    <xf numFmtId="0" fontId="0" fillId="0" borderId="0"/>
    <xf numFmtId="0" fontId="8" fillId="0" borderId="0"/>
  </cellStyleXfs>
  <cellXfs count="37">
    <xf numFmtId="0" fontId="0" fillId="0" borderId="0" xfId="0"/>
    <xf numFmtId="0" fontId="6" fillId="2" borderId="0" xfId="1" applyFont="1" applyFill="1" applyAlignment="1">
      <alignment vertical="center" wrapText="1"/>
    </xf>
    <xf numFmtId="0" fontId="7" fillId="0" borderId="1" xfId="1" applyFont="1" applyBorder="1" applyAlignment="1">
      <alignment vertical="top"/>
    </xf>
    <xf numFmtId="0" fontId="7" fillId="0" borderId="2" xfId="1" applyFont="1" applyBorder="1" applyAlignment="1">
      <alignment vertical="top"/>
    </xf>
    <xf numFmtId="0" fontId="7" fillId="0" borderId="3" xfId="1" applyFont="1" applyBorder="1" applyAlignment="1">
      <alignment vertical="top"/>
    </xf>
    <xf numFmtId="49" fontId="7" fillId="0" borderId="1" xfId="1" applyNumberFormat="1" applyFont="1" applyBorder="1" applyAlignment="1">
      <alignment vertical="top"/>
    </xf>
    <xf numFmtId="49" fontId="7" fillId="0" borderId="2" xfId="1" applyNumberFormat="1" applyFont="1" applyBorder="1" applyAlignment="1">
      <alignment vertical="top"/>
    </xf>
    <xf numFmtId="49" fontId="7" fillId="0" borderId="3" xfId="1" applyNumberFormat="1" applyFont="1" applyBorder="1" applyAlignment="1">
      <alignment vertical="top"/>
    </xf>
    <xf numFmtId="2" fontId="7" fillId="0" borderId="1" xfId="1" applyNumberFormat="1" applyFont="1" applyBorder="1" applyAlignment="1">
      <alignment vertical="top"/>
    </xf>
    <xf numFmtId="2" fontId="7" fillId="0" borderId="2" xfId="1" applyNumberFormat="1" applyFont="1" applyBorder="1" applyAlignment="1">
      <alignment vertical="top"/>
    </xf>
    <xf numFmtId="2" fontId="7" fillId="0" borderId="3" xfId="1" applyNumberFormat="1" applyFont="1" applyBorder="1" applyAlignment="1">
      <alignment vertical="top"/>
    </xf>
    <xf numFmtId="10" fontId="7" fillId="0" borderId="1" xfId="1" applyNumberFormat="1" applyFont="1" applyBorder="1" applyAlignment="1">
      <alignment vertical="top"/>
    </xf>
    <xf numFmtId="10" fontId="7" fillId="0" borderId="2" xfId="1" applyNumberFormat="1" applyFont="1" applyBorder="1" applyAlignment="1">
      <alignment vertical="top"/>
    </xf>
    <xf numFmtId="10" fontId="7" fillId="0" borderId="3" xfId="1" applyNumberFormat="1" applyFont="1" applyBorder="1" applyAlignment="1">
      <alignment vertical="top"/>
    </xf>
    <xf numFmtId="0" fontId="7" fillId="0" borderId="1" xfId="1" applyFont="1" applyBorder="1" applyAlignment="1">
      <alignment vertical="top" wrapText="1"/>
    </xf>
    <xf numFmtId="0" fontId="7" fillId="0" borderId="2" xfId="1" applyFont="1" applyBorder="1" applyAlignment="1">
      <alignment vertical="top" wrapText="1"/>
    </xf>
    <xf numFmtId="0" fontId="7" fillId="0" borderId="3" xfId="1" applyFont="1" applyBorder="1" applyAlignment="1">
      <alignment vertical="top" wrapText="1"/>
    </xf>
    <xf numFmtId="3" fontId="7" fillId="0" borderId="1" xfId="1" applyNumberFormat="1" applyFont="1" applyBorder="1" applyAlignment="1">
      <alignment vertical="top"/>
    </xf>
    <xf numFmtId="3" fontId="7" fillId="0" borderId="2" xfId="1" applyNumberFormat="1" applyFont="1" applyBorder="1" applyAlignment="1">
      <alignment vertical="top"/>
    </xf>
    <xf numFmtId="3" fontId="7" fillId="0" borderId="3" xfId="1" applyNumberFormat="1" applyFont="1" applyBorder="1" applyAlignment="1">
      <alignment vertical="top"/>
    </xf>
    <xf numFmtId="4" fontId="7" fillId="0" borderId="1" xfId="1" applyNumberFormat="1" applyFont="1" applyBorder="1" applyAlignment="1">
      <alignment vertical="top"/>
    </xf>
    <xf numFmtId="4" fontId="7" fillId="0" borderId="2" xfId="1" applyNumberFormat="1" applyFont="1" applyBorder="1" applyAlignment="1">
      <alignment vertical="top"/>
    </xf>
    <xf numFmtId="4" fontId="7" fillId="0" borderId="3" xfId="1" applyNumberFormat="1" applyFont="1" applyBorder="1" applyAlignment="1">
      <alignment vertical="top"/>
    </xf>
    <xf numFmtId="10" fontId="5" fillId="2" borderId="0" xfId="1" applyNumberFormat="1" applyFont="1" applyFill="1"/>
    <xf numFmtId="4" fontId="5" fillId="2" borderId="0" xfId="1" applyNumberFormat="1" applyFont="1" applyFill="1"/>
    <xf numFmtId="0" fontId="1" fillId="2" borderId="0" xfId="1" applyFont="1" applyFill="1" applyAlignment="1">
      <alignment vertical="center"/>
    </xf>
    <xf numFmtId="0" fontId="0" fillId="0" borderId="0" xfId="0"/>
    <xf numFmtId="0" fontId="2" fillId="3" borderId="0" xfId="1" applyFont="1" applyFill="1"/>
    <xf numFmtId="0" fontId="3" fillId="4" borderId="0" xfId="1" applyFont="1" applyFill="1" applyAlignment="1">
      <alignment horizontal="center"/>
    </xf>
    <xf numFmtId="0" fontId="4" fillId="4" borderId="0" xfId="1" applyFont="1" applyFill="1" applyAlignment="1">
      <alignment horizontal="center" vertical="center"/>
    </xf>
    <xf numFmtId="0" fontId="3" fillId="5" borderId="0" xfId="1" applyFont="1" applyFill="1" applyAlignment="1">
      <alignment horizontal="center"/>
    </xf>
    <xf numFmtId="0" fontId="4" fillId="5" borderId="0" xfId="1" applyFont="1" applyFill="1" applyAlignment="1">
      <alignment horizontal="center" vertical="center"/>
    </xf>
    <xf numFmtId="0" fontId="3" fillId="6" borderId="0" xfId="1" applyFont="1" applyFill="1" applyAlignment="1">
      <alignment horizontal="center"/>
    </xf>
    <xf numFmtId="0" fontId="4" fillId="6" borderId="0" xfId="1" applyFont="1" applyFill="1" applyAlignment="1">
      <alignment horizontal="center" vertical="center"/>
    </xf>
    <xf numFmtId="0" fontId="3" fillId="7" borderId="0" xfId="1" applyFont="1" applyFill="1" applyAlignment="1">
      <alignment horizontal="center"/>
    </xf>
    <xf numFmtId="0" fontId="4" fillId="7" borderId="0" xfId="1" applyFont="1" applyFill="1" applyAlignment="1">
      <alignment horizontal="center" vertical="center"/>
    </xf>
    <xf numFmtId="0" fontId="5" fillId="8" borderId="0" xfId="1" applyFont="1" applyFill="1"/>
  </cellXfs>
  <cellStyles count="2">
    <cellStyle name="Normal" xfId="1" xr:uid="{00000000-0005-0000-0000-000000000000}"/>
    <cellStyle name="常规" xfId="0" builtinId="0"/>
  </cellStyles>
  <dxfs count="9">
    <dxf>
      <font>
        <b/>
        <color rgb="FF1F2933"/>
      </font>
      <fill>
        <patternFill patternType="solid">
          <bgColor rgb="FFE3F1E6"/>
        </patternFill>
      </fill>
    </dxf>
    <dxf>
      <font>
        <b/>
        <color rgb="FF1F2933"/>
      </font>
      <fill>
        <patternFill patternType="solid">
          <bgColor rgb="FFFFF2CC"/>
        </patternFill>
      </fill>
    </dxf>
    <dxf>
      <font>
        <b/>
        <color rgb="FF1F2933"/>
      </font>
      <fill>
        <patternFill patternType="solid">
          <bgColor rgb="FFFCE4D6"/>
        </patternFill>
      </fill>
    </dxf>
    <dxf>
      <font>
        <b/>
        <color rgb="FF1F2933"/>
      </font>
      <fill>
        <patternFill patternType="solid">
          <bgColor rgb="FFFFF2CC"/>
        </patternFill>
      </fill>
    </dxf>
    <dxf>
      <font>
        <b/>
        <color rgb="FF1F2933"/>
      </font>
      <fill>
        <patternFill patternType="solid">
          <bgColor rgb="FFF9DEDC"/>
        </patternFill>
      </fill>
    </dxf>
    <dxf>
      <font>
        <b/>
        <color rgb="FF1F2933"/>
      </font>
      <fill>
        <patternFill patternType="solid">
          <bgColor rgb="FFF9DEDC"/>
        </patternFill>
      </fill>
    </dxf>
    <dxf>
      <font>
        <b/>
        <color rgb="FF1F2933"/>
      </font>
      <fill>
        <patternFill patternType="solid">
          <bgColor rgb="FFE3F1E6"/>
        </patternFill>
      </fill>
    </dxf>
    <dxf>
      <font>
        <b/>
        <color rgb="FF1F2933"/>
      </font>
      <fill>
        <patternFill patternType="solid">
          <bgColor rgb="FFF9DEDC"/>
        </patternFill>
      </fill>
    </dxf>
    <dxf>
      <font>
        <b/>
        <color rgb="FF1F2933"/>
      </font>
      <fill>
        <patternFill patternType="solid">
          <bgColor rgb="FFE3F1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verviewTopCandidates" displayName="OverviewTopCandidates" ref="A10:L20" totalsRowShown="0">
  <autoFilter ref="A10:L20" xr:uid="{00000000-0009-0000-0100-000001000000}"/>
  <tableColumns count="12">
    <tableColumn id="1" xr3:uid="{00000000-0010-0000-0000-000001000000}" name="复核排名"/>
    <tableColumn id="2" xr3:uid="{00000000-0010-0000-0000-000002000000}" name="股票代码"/>
    <tableColumn id="3" xr3:uid="{00000000-0010-0000-0000-000003000000}" name="股票名称"/>
    <tableColumn id="4" xr3:uid="{00000000-0010-0000-0000-000004000000}" name="来源"/>
    <tableColumn id="5" xr3:uid="{00000000-0010-0000-0000-000005000000}" name="二筛分"/>
    <tableColumn id="6" xr3:uid="{00000000-0010-0000-0000-000006000000}" name="深度复核分"/>
    <tableColumn id="7" xr3:uid="{00000000-0010-0000-0000-000007000000}" name="结论"/>
    <tableColumn id="8" xr3:uid="{00000000-0010-0000-0000-000008000000}" name="建议仓位"/>
    <tableColumn id="9" xr3:uid="{00000000-0010-0000-0000-000009000000}" name="参考价"/>
    <tableColumn id="10" xr3:uid="{00000000-0010-0000-0000-00000A000000}" name="止损价"/>
    <tableColumn id="11" xr3:uid="{00000000-0010-0000-0000-00000B000000}" name="第二目标价"/>
    <tableColumn id="12" xr3:uid="{00000000-0010-0000-0000-00000C000000}" name="核心逻辑"/>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umanCandidates" displayName="HumanCandidates" ref="A4:V31" totalsRowShown="0">
  <autoFilter ref="A4:V31" xr:uid="{00000000-0009-0000-0100-000002000000}"/>
  <tableColumns count="22">
    <tableColumn id="1" xr3:uid="{00000000-0010-0000-0100-000001000000}" name="复核排名"/>
    <tableColumn id="2" xr3:uid="{00000000-0010-0000-0100-000002000000}" name="股票代码"/>
    <tableColumn id="3" xr3:uid="{00000000-0010-0000-0100-000003000000}" name="股票名称"/>
    <tableColumn id="4" xr3:uid="{00000000-0010-0000-0100-000004000000}" name="入选来源"/>
    <tableColumn id="5" xr3:uid="{00000000-0010-0000-0100-000005000000}" name="量化排名"/>
    <tableColumn id="6" xr3:uid="{00000000-0010-0000-0100-000006000000}" name="量化得分"/>
    <tableColumn id="7" xr3:uid="{00000000-0010-0000-0100-000007000000}" name="二筛得分"/>
    <tableColumn id="8" xr3:uid="{00000000-0010-0000-0100-000008000000}" name="二筛结论"/>
    <tableColumn id="9" xr3:uid="{00000000-0010-0000-0100-000009000000}" name="深度复核分"/>
    <tableColumn id="10" xr3:uid="{00000000-0010-0000-0100-00000A000000}" name="复核优先级"/>
    <tableColumn id="11" xr3:uid="{00000000-0010-0000-0100-00000B000000}" name="一级行业"/>
    <tableColumn id="12" xr3:uid="{00000000-0010-0000-0100-00000C000000}" name="产业链"/>
    <tableColumn id="13" xr3:uid="{00000000-0010-0000-0100-00000D000000}" name="财务状态"/>
    <tableColumn id="14" xr3:uid="{00000000-0010-0000-0100-00000E000000}" name="建议仓位"/>
    <tableColumn id="15" xr3:uid="{00000000-0010-0000-0100-00000F000000}" name="建议股数"/>
    <tableColumn id="16" xr3:uid="{00000000-0010-0000-0100-000010000000}" name="参考价"/>
    <tableColumn id="17" xr3:uid="{00000000-0010-0000-0100-000011000000}" name="止损价"/>
    <tableColumn id="18" xr3:uid="{00000000-0010-0000-0100-000012000000}" name="第二目标价"/>
    <tableColumn id="19" xr3:uid="{00000000-0010-0000-0100-000013000000}" name="风险收益比"/>
    <tableColumn id="20" xr3:uid="{00000000-0010-0000-0100-000014000000}" name="核心逻辑"/>
    <tableColumn id="21" xr3:uid="{00000000-0010-0000-0100-000015000000}" name="主要风险"/>
    <tableColumn id="22" xr3:uid="{00000000-0010-0000-0100-000016000000}" name="当前状态"/>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HumanOrders" displayName="HumanOrders" ref="A4:X31" totalsRowShown="0">
  <autoFilter ref="A4:X31" xr:uid="{00000000-0009-0000-0100-000003000000}"/>
  <tableColumns count="24">
    <tableColumn id="1" xr3:uid="{00000000-0010-0000-0200-000001000000}" name="复核排名"/>
    <tableColumn id="2" xr3:uid="{00000000-0010-0000-0200-000002000000}" name="股票代码"/>
    <tableColumn id="3" xr3:uid="{00000000-0010-0000-0200-000003000000}" name="股票名称"/>
    <tableColumn id="4" xr3:uid="{00000000-0010-0000-0200-000004000000}" name="入选来源"/>
    <tableColumn id="5" xr3:uid="{00000000-0010-0000-0200-000005000000}" name="量化得分"/>
    <tableColumn id="6" xr3:uid="{00000000-0010-0000-0200-000006000000}" name="二筛得分"/>
    <tableColumn id="7" xr3:uid="{00000000-0010-0000-0200-000007000000}" name="二筛结论"/>
    <tableColumn id="8" xr3:uid="{00000000-0010-0000-0200-000008000000}" name="深度复核分"/>
    <tableColumn id="9" xr3:uid="{00000000-0010-0000-0200-000009000000}" name="保守价"/>
    <tableColumn id="10" xr3:uid="{00000000-0010-0000-0200-00000A000000}" name="均衡价"/>
    <tableColumn id="11" xr3:uid="{00000000-0010-0000-0200-00000B000000}" name="积极价"/>
    <tableColumn id="12" xr3:uid="{00000000-0010-0000-0200-00000C000000}" name="参考价"/>
    <tableColumn id="13" xr3:uid="{00000000-0010-0000-0200-00000D000000}" name="最高接受价"/>
    <tableColumn id="14" xr3:uid="{00000000-0010-0000-0200-00000E000000}" name="止损价"/>
    <tableColumn id="15" xr3:uid="{00000000-0010-0000-0200-00000F000000}" name="第一目标价"/>
    <tableColumn id="16" xr3:uid="{00000000-0010-0000-0200-000010000000}" name="第二目标价"/>
    <tableColumn id="17" xr3:uid="{00000000-0010-0000-0200-000011000000}" name="第一目标收益比"/>
    <tableColumn id="18" xr3:uid="{00000000-0010-0000-0200-000012000000}" name="第二目标收益比"/>
    <tableColumn id="19" xr3:uid="{00000000-0010-0000-0200-000013000000}" name="当前收益比"/>
    <tableColumn id="20" xr3:uid="{00000000-0010-0000-0200-000014000000}" name="建议仓位"/>
    <tableColumn id="21" xr3:uid="{00000000-0010-0000-0200-000015000000}" name="建议资金"/>
    <tableColumn id="22" xr3:uid="{00000000-0010-0000-0200-000016000000}" name="建议股数"/>
    <tableColumn id="23" xr3:uid="{00000000-0010-0000-0200-000017000000}" name="预计最大损失"/>
    <tableColumn id="24" xr3:uid="{00000000-0010-0000-0200-000018000000}" name="说明"/>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HumanFundamentals" displayName="HumanFundamentals" ref="A4:S31" totalsRowShown="0">
  <autoFilter ref="A4:S31" xr:uid="{00000000-0009-0000-0100-000004000000}"/>
  <tableColumns count="19">
    <tableColumn id="1" xr3:uid="{00000000-0010-0000-0300-000001000000}" name="复核排名"/>
    <tableColumn id="2" xr3:uid="{00000000-0010-0000-0300-000002000000}" name="股票代码"/>
    <tableColumn id="3" xr3:uid="{00000000-0010-0000-0300-000003000000}" name="股票名称"/>
    <tableColumn id="4" xr3:uid="{00000000-0010-0000-0300-000004000000}" name="入选来源"/>
    <tableColumn id="5" xr3:uid="{00000000-0010-0000-0300-000005000000}" name="一级行业"/>
    <tableColumn id="6" xr3:uid="{00000000-0010-0000-0300-000006000000}" name="产业链"/>
    <tableColumn id="7" xr3:uid="{00000000-0010-0000-0300-000007000000}" name="链条位置"/>
    <tableColumn id="8" xr3:uid="{00000000-0010-0000-0300-000008000000}" name="主营业务"/>
    <tableColumn id="9" xr3:uid="{00000000-0010-0000-0300-000009000000}" name="核心产品"/>
    <tableColumn id="10" xr3:uid="{00000000-0010-0000-0300-00000A000000}" name="概念标签"/>
    <tableColumn id="11" xr3:uid="{00000000-0010-0000-0300-00000B000000}" name="结构性方向"/>
    <tableColumn id="12" xr3:uid="{00000000-0010-0000-0300-00000C000000}" name="潜在优势"/>
    <tableColumn id="13" xr3:uid="{00000000-0010-0000-0300-00000D000000}" name="行业趋势"/>
    <tableColumn id="14" xr3:uid="{00000000-0010-0000-0300-00000E000000}" name="核心逻辑"/>
    <tableColumn id="15" xr3:uid="{00000000-0010-0000-0300-00000F000000}" name="失效条件"/>
    <tableColumn id="16" xr3:uid="{00000000-0010-0000-0300-000010000000}" name="财务状态"/>
    <tableColumn id="17" xr3:uid="{00000000-0010-0000-0300-000011000000}" name="财务说明"/>
    <tableColumn id="18" xr3:uid="{00000000-0010-0000-0300-000012000000}" name="人工复核"/>
    <tableColumn id="19" xr3:uid="{00000000-0010-0000-0300-000013000000}" name="复核优先级"/>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HumanQuantTop100" displayName="HumanQuantTop100" ref="A4:L104" totalsRowShown="0">
  <autoFilter ref="A4:L104" xr:uid="{00000000-0009-0000-0100-000005000000}"/>
  <tableColumns count="12">
    <tableColumn id="1" xr3:uid="{00000000-0010-0000-0400-000001000000}" name="量化排名"/>
    <tableColumn id="2" xr3:uid="{00000000-0010-0000-0400-000002000000}" name="股票代码"/>
    <tableColumn id="3" xr3:uid="{00000000-0010-0000-0400-000003000000}" name="股票名称"/>
    <tableColumn id="4" xr3:uid="{00000000-0010-0000-0400-000004000000}" name="一级行业"/>
    <tableColumn id="5" xr3:uid="{00000000-0010-0000-0400-000005000000}" name="量化总分"/>
    <tableColumn id="6" xr3:uid="{00000000-0010-0000-0400-000006000000}" name="技术得分"/>
    <tableColumn id="7" xr3:uid="{00000000-0010-0000-0400-000007000000}" name="资金得分"/>
    <tableColumn id="8" xr3:uid="{00000000-0010-0000-0400-000008000000}" name="情绪得分"/>
    <tableColumn id="9" xr3:uid="{00000000-0010-0000-0400-000009000000}" name="动量得分"/>
    <tableColumn id="10" xr3:uid="{00000000-0010-0000-0400-00000A000000}" name="风险得分"/>
    <tableColumn id="11" xr3:uid="{00000000-0010-0000-0400-00000B000000}" name="进入二筛"/>
    <tableColumn id="12" xr3:uid="{00000000-0010-0000-0400-00000C000000}" name="进入重点候选"/>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showGridLines="0" topLeftCell="D14" workbookViewId="0">
      <selection sqref="A1:L2"/>
    </sheetView>
  </sheetViews>
  <sheetFormatPr defaultRowHeight="13.5"/>
  <cols>
    <col min="1" max="1" width="10" customWidth="1"/>
    <col min="2" max="2" width="13" customWidth="1"/>
    <col min="3" max="3" width="14" customWidth="1"/>
    <col min="4" max="4" width="12" customWidth="1"/>
    <col min="5" max="5" width="10" customWidth="1"/>
    <col min="6" max="8" width="12" customWidth="1"/>
    <col min="9" max="11" width="11" customWidth="1"/>
    <col min="12" max="12" width="42" customWidth="1"/>
  </cols>
  <sheetData>
    <row r="1" spans="1:12" ht="28.05" customHeight="1">
      <c r="A1" s="25" t="s">
        <v>0</v>
      </c>
      <c r="B1" s="26"/>
      <c r="C1" s="26"/>
      <c r="D1" s="26"/>
      <c r="E1" s="26"/>
      <c r="F1" s="26"/>
      <c r="G1" s="26"/>
      <c r="H1" s="26"/>
      <c r="I1" s="26"/>
      <c r="J1" s="26"/>
      <c r="K1" s="26"/>
      <c r="L1" s="26"/>
    </row>
    <row r="2" spans="1:12">
      <c r="A2" s="26"/>
      <c r="B2" s="26"/>
      <c r="C2" s="26"/>
      <c r="D2" s="26"/>
      <c r="E2" s="26"/>
      <c r="F2" s="26"/>
      <c r="G2" s="26"/>
      <c r="H2" s="26"/>
      <c r="I2" s="26"/>
      <c r="J2" s="26"/>
      <c r="K2" s="26"/>
      <c r="L2" s="26"/>
    </row>
    <row r="3" spans="1:12" ht="22.05" customHeight="1">
      <c r="A3" s="27" t="s">
        <v>1</v>
      </c>
      <c r="B3" s="26"/>
      <c r="C3" s="26"/>
      <c r="D3" s="26"/>
      <c r="E3" s="26"/>
      <c r="F3" s="26"/>
      <c r="G3" s="26"/>
      <c r="H3" s="26"/>
      <c r="I3" s="26"/>
      <c r="J3" s="26"/>
      <c r="K3" s="26"/>
      <c r="L3" s="26"/>
    </row>
    <row r="5" spans="1:12" ht="13.9">
      <c r="A5" s="28" t="s">
        <v>2</v>
      </c>
      <c r="B5" s="28"/>
      <c r="C5" s="28"/>
      <c r="D5" s="30" t="s">
        <v>3</v>
      </c>
      <c r="E5" s="30"/>
      <c r="F5" s="30"/>
      <c r="G5" s="32" t="s">
        <v>4</v>
      </c>
      <c r="H5" s="32"/>
      <c r="I5" s="32"/>
      <c r="J5" s="34" t="s">
        <v>5</v>
      </c>
      <c r="K5" s="34"/>
      <c r="L5" s="34"/>
    </row>
    <row r="6" spans="1:12" ht="28.05" customHeight="1">
      <c r="A6" s="29">
        <f>COUNTA(重点候选!B5:B200)</f>
        <v>27</v>
      </c>
      <c r="B6" s="29"/>
      <c r="C6" s="29"/>
      <c r="D6" s="31">
        <f>COUNTIF(挂单与仓位!V5:V31,"&gt;0")</f>
        <v>14</v>
      </c>
      <c r="E6" s="31"/>
      <c r="F6" s="31"/>
      <c r="G6" s="33">
        <f>COUNTA(#REF!)</f>
        <v>1</v>
      </c>
      <c r="H6" s="33"/>
      <c r="I6" s="33"/>
      <c r="J6" s="35">
        <f>105</f>
        <v>105</v>
      </c>
      <c r="K6" s="35"/>
      <c r="L6" s="35"/>
    </row>
    <row r="7" spans="1:12" ht="28.05" customHeight="1">
      <c r="A7" s="29"/>
      <c r="B7" s="29"/>
      <c r="C7" s="29"/>
      <c r="D7" s="31"/>
      <c r="E7" s="31"/>
      <c r="F7" s="31"/>
      <c r="G7" s="33"/>
      <c r="H7" s="33"/>
      <c r="I7" s="33"/>
      <c r="J7" s="35"/>
      <c r="K7" s="35"/>
      <c r="L7" s="35"/>
    </row>
    <row r="9" spans="1:12" ht="24" customHeight="1">
      <c r="A9" s="36" t="s">
        <v>6</v>
      </c>
      <c r="B9" s="36"/>
      <c r="C9" s="36"/>
      <c r="D9" s="36"/>
      <c r="E9" s="36"/>
      <c r="F9" s="36"/>
      <c r="G9" s="36"/>
      <c r="H9" s="36"/>
      <c r="I9" s="36"/>
      <c r="J9" s="36"/>
      <c r="K9" s="36"/>
      <c r="L9" s="36"/>
    </row>
    <row r="10" spans="1:12" ht="32" customHeight="1">
      <c r="A10" s="1" t="s">
        <v>7</v>
      </c>
      <c r="B10" s="1" t="s">
        <v>8</v>
      </c>
      <c r="C10" s="1" t="s">
        <v>9</v>
      </c>
      <c r="D10" s="1" t="s">
        <v>10</v>
      </c>
      <c r="E10" s="1" t="s">
        <v>11</v>
      </c>
      <c r="F10" s="1" t="s">
        <v>12</v>
      </c>
      <c r="G10" s="1" t="s">
        <v>13</v>
      </c>
      <c r="H10" s="1" t="s">
        <v>14</v>
      </c>
      <c r="I10" s="1" t="s">
        <v>15</v>
      </c>
      <c r="J10" s="1" t="s">
        <v>16</v>
      </c>
      <c r="K10" s="1" t="s">
        <v>17</v>
      </c>
      <c r="L10" s="1" t="s">
        <v>18</v>
      </c>
    </row>
    <row r="11" spans="1:12" ht="34.9">
      <c r="A11" s="2">
        <v>1</v>
      </c>
      <c r="B11" s="5" t="s">
        <v>19</v>
      </c>
      <c r="C11" s="2" t="s">
        <v>20</v>
      </c>
      <c r="D11" s="2" t="s">
        <v>21</v>
      </c>
      <c r="E11" s="8">
        <v>65.5</v>
      </c>
      <c r="F11" s="8">
        <v>65.5</v>
      </c>
      <c r="G11" s="2" t="s">
        <v>22</v>
      </c>
      <c r="H11" s="11">
        <v>0</v>
      </c>
      <c r="I11" s="8">
        <v>145.94</v>
      </c>
      <c r="J11" s="8">
        <v>134.26</v>
      </c>
      <c r="K11" s="8">
        <v>170.36</v>
      </c>
      <c r="L11" s="14" t="s">
        <v>23</v>
      </c>
    </row>
    <row r="12" spans="1:12" ht="34.9">
      <c r="A12" s="3">
        <v>2</v>
      </c>
      <c r="B12" s="6" t="s">
        <v>24</v>
      </c>
      <c r="C12" s="3" t="s">
        <v>25</v>
      </c>
      <c r="D12" s="3" t="s">
        <v>21</v>
      </c>
      <c r="E12" s="9">
        <v>77</v>
      </c>
      <c r="F12" s="9">
        <v>63</v>
      </c>
      <c r="G12" s="3" t="s">
        <v>26</v>
      </c>
      <c r="H12" s="12">
        <v>0</v>
      </c>
      <c r="I12" s="9">
        <v>186.85</v>
      </c>
      <c r="J12" s="9">
        <v>173.96</v>
      </c>
      <c r="K12" s="9">
        <v>212.62</v>
      </c>
      <c r="L12" s="15" t="s">
        <v>27</v>
      </c>
    </row>
    <row r="13" spans="1:12" ht="46.5">
      <c r="A13" s="3">
        <v>3</v>
      </c>
      <c r="B13" s="6" t="s">
        <v>28</v>
      </c>
      <c r="C13" s="3" t="s">
        <v>29</v>
      </c>
      <c r="D13" s="3" t="s">
        <v>21</v>
      </c>
      <c r="E13" s="9">
        <v>50</v>
      </c>
      <c r="F13" s="9">
        <v>62.5</v>
      </c>
      <c r="G13" s="3" t="s">
        <v>30</v>
      </c>
      <c r="H13" s="12">
        <v>6.5490000000000001E-3</v>
      </c>
      <c r="I13" s="9">
        <v>65.489999999999995</v>
      </c>
      <c r="J13" s="9">
        <v>61.81</v>
      </c>
      <c r="K13" s="9">
        <v>72.86</v>
      </c>
      <c r="L13" s="15" t="s">
        <v>31</v>
      </c>
    </row>
    <row r="14" spans="1:12" ht="23.25">
      <c r="A14" s="3">
        <v>4</v>
      </c>
      <c r="B14" s="6" t="s">
        <v>32</v>
      </c>
      <c r="C14" s="3" t="s">
        <v>33</v>
      </c>
      <c r="D14" s="3" t="s">
        <v>21</v>
      </c>
      <c r="E14" s="9">
        <v>56</v>
      </c>
      <c r="F14" s="9">
        <v>62.07</v>
      </c>
      <c r="G14" s="3" t="s">
        <v>22</v>
      </c>
      <c r="H14" s="12">
        <v>6.038E-3</v>
      </c>
      <c r="I14" s="9">
        <v>30.19</v>
      </c>
      <c r="J14" s="9">
        <v>28.17</v>
      </c>
      <c r="K14" s="9">
        <v>34.229999999999997</v>
      </c>
      <c r="L14" s="15" t="s">
        <v>34</v>
      </c>
    </row>
    <row r="15" spans="1:12" ht="23.25">
      <c r="A15" s="3">
        <v>5</v>
      </c>
      <c r="B15" s="6" t="s">
        <v>35</v>
      </c>
      <c r="C15" s="3" t="s">
        <v>36</v>
      </c>
      <c r="D15" s="3" t="s">
        <v>21</v>
      </c>
      <c r="E15" s="9">
        <v>50</v>
      </c>
      <c r="F15" s="9">
        <v>61.8</v>
      </c>
      <c r="G15" s="3" t="s">
        <v>30</v>
      </c>
      <c r="H15" s="12">
        <v>0</v>
      </c>
      <c r="I15" s="9">
        <v>74.3</v>
      </c>
      <c r="J15" s="9">
        <v>68.88</v>
      </c>
      <c r="K15" s="9">
        <v>85.13</v>
      </c>
      <c r="L15" s="15" t="s">
        <v>37</v>
      </c>
    </row>
    <row r="16" spans="1:12" ht="46.5">
      <c r="A16" s="3">
        <v>6</v>
      </c>
      <c r="B16" s="6" t="s">
        <v>38</v>
      </c>
      <c r="C16" s="3" t="s">
        <v>39</v>
      </c>
      <c r="D16" s="3" t="s">
        <v>21</v>
      </c>
      <c r="E16" s="9">
        <v>50</v>
      </c>
      <c r="F16" s="9">
        <v>61.77</v>
      </c>
      <c r="G16" s="3" t="s">
        <v>30</v>
      </c>
      <c r="H16" s="12">
        <v>3.8990000000000001E-3</v>
      </c>
      <c r="I16" s="9">
        <v>38.99</v>
      </c>
      <c r="J16" s="9">
        <v>35.869999999999997</v>
      </c>
      <c r="K16" s="9">
        <v>45.77</v>
      </c>
      <c r="L16" s="15" t="s">
        <v>40</v>
      </c>
    </row>
    <row r="17" spans="1:12" ht="23.25">
      <c r="A17" s="3">
        <v>7</v>
      </c>
      <c r="B17" s="6" t="s">
        <v>41</v>
      </c>
      <c r="C17" s="3" t="s">
        <v>42</v>
      </c>
      <c r="D17" s="3" t="s">
        <v>21</v>
      </c>
      <c r="E17" s="9">
        <v>50</v>
      </c>
      <c r="F17" s="9">
        <v>61.76</v>
      </c>
      <c r="G17" s="3" t="s">
        <v>30</v>
      </c>
      <c r="H17" s="12">
        <v>8.2240000000000004E-3</v>
      </c>
      <c r="I17" s="9">
        <v>20.56</v>
      </c>
      <c r="J17" s="9">
        <v>19.71</v>
      </c>
      <c r="K17" s="9">
        <v>22.26</v>
      </c>
      <c r="L17" s="15" t="s">
        <v>43</v>
      </c>
    </row>
    <row r="18" spans="1:12" ht="23.25">
      <c r="A18" s="3">
        <v>8</v>
      </c>
      <c r="B18" s="6" t="s">
        <v>44</v>
      </c>
      <c r="C18" s="3" t="s">
        <v>45</v>
      </c>
      <c r="D18" s="3" t="s">
        <v>21</v>
      </c>
      <c r="E18" s="9">
        <v>53.5</v>
      </c>
      <c r="F18" s="9">
        <v>61.34</v>
      </c>
      <c r="G18" s="3" t="s">
        <v>30</v>
      </c>
      <c r="H18" s="12">
        <v>0</v>
      </c>
      <c r="I18" s="9">
        <v>228.78</v>
      </c>
      <c r="J18" s="9">
        <v>212.55</v>
      </c>
      <c r="K18" s="9">
        <v>261.24</v>
      </c>
      <c r="L18" s="15" t="s">
        <v>46</v>
      </c>
    </row>
    <row r="19" spans="1:12" ht="46.5">
      <c r="A19" s="3">
        <v>9</v>
      </c>
      <c r="B19" s="6" t="s">
        <v>47</v>
      </c>
      <c r="C19" s="3" t="s">
        <v>48</v>
      </c>
      <c r="D19" s="3" t="s">
        <v>49</v>
      </c>
      <c r="E19" s="9">
        <v>50</v>
      </c>
      <c r="F19" s="9">
        <v>61.26</v>
      </c>
      <c r="G19" s="3" t="s">
        <v>30</v>
      </c>
      <c r="H19" s="12">
        <v>0</v>
      </c>
      <c r="I19" s="9">
        <v>95.17</v>
      </c>
      <c r="J19" s="9">
        <v>88.26</v>
      </c>
      <c r="K19" s="9">
        <v>109</v>
      </c>
      <c r="L19" s="15" t="s">
        <v>50</v>
      </c>
    </row>
    <row r="20" spans="1:12" ht="23.25">
      <c r="A20" s="4">
        <v>10</v>
      </c>
      <c r="B20" s="7" t="s">
        <v>51</v>
      </c>
      <c r="C20" s="4" t="s">
        <v>52</v>
      </c>
      <c r="D20" s="4" t="s">
        <v>21</v>
      </c>
      <c r="E20" s="10">
        <v>51.5</v>
      </c>
      <c r="F20" s="10">
        <v>60.68</v>
      </c>
      <c r="G20" s="4" t="s">
        <v>30</v>
      </c>
      <c r="H20" s="13">
        <v>1.0047E-2</v>
      </c>
      <c r="I20" s="10">
        <v>5.91</v>
      </c>
      <c r="J20" s="10">
        <v>5.68</v>
      </c>
      <c r="K20" s="10">
        <v>6.38</v>
      </c>
      <c r="L20" s="16" t="s">
        <v>53</v>
      </c>
    </row>
  </sheetData>
  <mergeCells count="11">
    <mergeCell ref="A9:L9"/>
    <mergeCell ref="A1:L2"/>
    <mergeCell ref="A3:L3"/>
    <mergeCell ref="A5:C5"/>
    <mergeCell ref="A6:C7"/>
    <mergeCell ref="D5:F5"/>
    <mergeCell ref="D6:F7"/>
    <mergeCell ref="G5:I5"/>
    <mergeCell ref="G6:I7"/>
    <mergeCell ref="J5:L5"/>
    <mergeCell ref="J6:L7"/>
  </mergeCells>
  <phoneticPr fontId="9" type="noConversion"/>
  <conditionalFormatting sqref="G11:G20">
    <cfRule type="containsText" dxfId="8" priority="1" operator="containsText" text="优先复核"/>
    <cfRule type="containsText" dxfId="7" priority="2" operator="containsText" text="规则阻断"/>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1"/>
  <sheetViews>
    <sheetView showGridLines="0" tabSelected="1" topLeftCell="A4" zoomScale="58" workbookViewId="0">
      <selection activeCell="E33" sqref="E33"/>
    </sheetView>
  </sheetViews>
  <sheetFormatPr defaultRowHeight="13.5"/>
  <cols>
    <col min="1" max="1" width="11" customWidth="1"/>
    <col min="2" max="4" width="16" customWidth="1"/>
    <col min="5" max="10" width="11" customWidth="1"/>
    <col min="11" max="12" width="16" customWidth="1"/>
    <col min="13" max="19" width="11" customWidth="1"/>
    <col min="20" max="20" width="42" customWidth="1"/>
    <col min="21" max="21" width="42" hidden="1" customWidth="1"/>
    <col min="22" max="22" width="11" hidden="1" customWidth="1"/>
  </cols>
  <sheetData>
    <row r="1" spans="1:22" ht="28.05" customHeight="1">
      <c r="A1" s="25" t="s">
        <v>2</v>
      </c>
      <c r="B1" s="26"/>
      <c r="C1" s="26"/>
      <c r="D1" s="26"/>
      <c r="E1" s="26"/>
      <c r="F1" s="26"/>
      <c r="G1" s="26"/>
      <c r="H1" s="26"/>
      <c r="I1" s="26"/>
      <c r="J1" s="26"/>
      <c r="K1" s="26"/>
      <c r="L1" s="26"/>
      <c r="M1" s="26"/>
      <c r="N1" s="26"/>
      <c r="O1" s="26"/>
      <c r="P1" s="26"/>
      <c r="Q1" s="26"/>
      <c r="R1" s="26"/>
      <c r="S1" s="26"/>
      <c r="T1" s="26"/>
      <c r="U1" s="26"/>
      <c r="V1" s="26"/>
    </row>
    <row r="2" spans="1:22">
      <c r="A2" s="26"/>
      <c r="B2" s="26"/>
      <c r="C2" s="26"/>
      <c r="D2" s="26"/>
      <c r="E2" s="26"/>
      <c r="F2" s="26"/>
      <c r="G2" s="26"/>
      <c r="H2" s="26"/>
      <c r="I2" s="26"/>
      <c r="J2" s="26"/>
      <c r="K2" s="26"/>
      <c r="L2" s="26"/>
      <c r="M2" s="26"/>
      <c r="N2" s="26"/>
      <c r="O2" s="26"/>
      <c r="P2" s="26"/>
      <c r="Q2" s="26"/>
      <c r="R2" s="26"/>
      <c r="S2" s="26"/>
      <c r="T2" s="26"/>
      <c r="U2" s="26"/>
      <c r="V2" s="26"/>
    </row>
    <row r="3" spans="1:22" ht="22.05" customHeight="1">
      <c r="A3" s="27" t="s">
        <v>54</v>
      </c>
      <c r="B3" s="26"/>
      <c r="C3" s="26"/>
      <c r="D3" s="26"/>
      <c r="E3" s="26"/>
      <c r="F3" s="26"/>
      <c r="G3" s="26"/>
      <c r="H3" s="26"/>
      <c r="I3" s="26"/>
      <c r="J3" s="26"/>
      <c r="K3" s="26"/>
      <c r="L3" s="26"/>
      <c r="M3" s="26"/>
      <c r="N3" s="26"/>
      <c r="O3" s="26"/>
      <c r="P3" s="26"/>
      <c r="Q3" s="26"/>
      <c r="R3" s="26"/>
      <c r="S3" s="26"/>
      <c r="T3" s="26"/>
      <c r="U3" s="26"/>
      <c r="V3" s="26"/>
    </row>
    <row r="4" spans="1:22" ht="32" customHeight="1">
      <c r="A4" s="1" t="s">
        <v>7</v>
      </c>
      <c r="B4" s="1" t="s">
        <v>8</v>
      </c>
      <c r="C4" s="1" t="s">
        <v>9</v>
      </c>
      <c r="D4" s="1" t="s">
        <v>55</v>
      </c>
      <c r="E4" s="1" t="s">
        <v>56</v>
      </c>
      <c r="F4" s="1" t="s">
        <v>57</v>
      </c>
      <c r="G4" s="1" t="s">
        <v>58</v>
      </c>
      <c r="H4" s="1" t="s">
        <v>59</v>
      </c>
      <c r="I4" s="1" t="s">
        <v>12</v>
      </c>
      <c r="J4" s="1" t="s">
        <v>60</v>
      </c>
      <c r="K4" s="1" t="s">
        <v>61</v>
      </c>
      <c r="L4" s="1" t="s">
        <v>62</v>
      </c>
      <c r="M4" s="1" t="s">
        <v>63</v>
      </c>
      <c r="N4" s="1" t="s">
        <v>14</v>
      </c>
      <c r="O4" s="1" t="s">
        <v>64</v>
      </c>
      <c r="P4" s="1" t="s">
        <v>15</v>
      </c>
      <c r="Q4" s="1" t="s">
        <v>16</v>
      </c>
      <c r="R4" s="1" t="s">
        <v>17</v>
      </c>
      <c r="S4" s="1" t="s">
        <v>65</v>
      </c>
      <c r="T4" s="1" t="s">
        <v>18</v>
      </c>
      <c r="U4" s="1" t="s">
        <v>66</v>
      </c>
      <c r="V4" s="1" t="s">
        <v>67</v>
      </c>
    </row>
    <row r="5" spans="1:22" ht="34.9">
      <c r="A5" s="2">
        <v>1</v>
      </c>
      <c r="B5" s="5" t="s">
        <v>19</v>
      </c>
      <c r="C5" s="2" t="s">
        <v>20</v>
      </c>
      <c r="D5" s="2" t="s">
        <v>21</v>
      </c>
      <c r="E5" s="2">
        <v>35</v>
      </c>
      <c r="F5" s="8">
        <v>59.4071</v>
      </c>
      <c r="G5" s="8">
        <v>65.5</v>
      </c>
      <c r="H5" s="8" t="s">
        <v>22</v>
      </c>
      <c r="I5" s="8">
        <v>65.5</v>
      </c>
      <c r="J5" s="2" t="s">
        <v>68</v>
      </c>
      <c r="K5" s="2" t="s">
        <v>69</v>
      </c>
      <c r="L5" s="2" t="s">
        <v>70</v>
      </c>
      <c r="M5" s="2" t="s">
        <v>71</v>
      </c>
      <c r="N5" s="11">
        <v>0</v>
      </c>
      <c r="O5" s="17">
        <v>0</v>
      </c>
      <c r="P5" s="8">
        <v>145.94</v>
      </c>
      <c r="Q5" s="8">
        <v>134.26</v>
      </c>
      <c r="R5" s="8">
        <v>170.36</v>
      </c>
      <c r="S5" s="8">
        <v>2.0908000000000002</v>
      </c>
      <c r="T5" s="14" t="s">
        <v>23</v>
      </c>
      <c r="U5" s="14" t="s">
        <v>72</v>
      </c>
      <c r="V5" s="2" t="s">
        <v>73</v>
      </c>
    </row>
    <row r="6" spans="1:22" ht="34.9">
      <c r="A6" s="3">
        <v>2</v>
      </c>
      <c r="B6" s="6" t="s">
        <v>24</v>
      </c>
      <c r="C6" s="3" t="s">
        <v>25</v>
      </c>
      <c r="D6" s="3" t="s">
        <v>21</v>
      </c>
      <c r="E6" s="3">
        <v>1</v>
      </c>
      <c r="F6" s="9">
        <v>63.001100000000001</v>
      </c>
      <c r="G6" s="9">
        <v>77</v>
      </c>
      <c r="H6" s="9" t="s">
        <v>26</v>
      </c>
      <c r="I6" s="9">
        <v>63</v>
      </c>
      <c r="J6" s="3" t="s">
        <v>68</v>
      </c>
      <c r="K6" s="3" t="s">
        <v>69</v>
      </c>
      <c r="L6" s="3" t="s">
        <v>74</v>
      </c>
      <c r="M6" s="3" t="s">
        <v>71</v>
      </c>
      <c r="N6" s="12">
        <v>0</v>
      </c>
      <c r="O6" s="18">
        <v>0</v>
      </c>
      <c r="P6" s="9">
        <v>186.85</v>
      </c>
      <c r="Q6" s="9">
        <v>173.96</v>
      </c>
      <c r="R6" s="9">
        <v>212.62</v>
      </c>
      <c r="S6" s="9">
        <v>1.9992000000000001</v>
      </c>
      <c r="T6" s="15" t="s">
        <v>27</v>
      </c>
      <c r="U6" s="15" t="s">
        <v>75</v>
      </c>
      <c r="V6" s="3" t="s">
        <v>73</v>
      </c>
    </row>
    <row r="7" spans="1:22" ht="46.5">
      <c r="A7" s="3">
        <v>3</v>
      </c>
      <c r="B7" s="6" t="s">
        <v>28</v>
      </c>
      <c r="C7" s="3" t="s">
        <v>29</v>
      </c>
      <c r="D7" s="3" t="s">
        <v>21</v>
      </c>
      <c r="E7" s="3">
        <v>3</v>
      </c>
      <c r="F7" s="9">
        <v>62.495600000000003</v>
      </c>
      <c r="G7" s="9">
        <v>50</v>
      </c>
      <c r="H7" s="9" t="s">
        <v>30</v>
      </c>
      <c r="I7" s="9">
        <v>62.5</v>
      </c>
      <c r="J7" s="3" t="s">
        <v>68</v>
      </c>
      <c r="K7" s="3" t="s">
        <v>76</v>
      </c>
      <c r="L7" s="3" t="s">
        <v>77</v>
      </c>
      <c r="M7" s="3" t="s">
        <v>78</v>
      </c>
      <c r="N7" s="12">
        <v>6.5490000000000001E-3</v>
      </c>
      <c r="O7" s="18">
        <v>100</v>
      </c>
      <c r="P7" s="9">
        <v>65.489999999999995</v>
      </c>
      <c r="Q7" s="9">
        <v>61.81</v>
      </c>
      <c r="R7" s="9">
        <v>72.86</v>
      </c>
      <c r="S7" s="9">
        <v>2.0026999999999999</v>
      </c>
      <c r="T7" s="15" t="s">
        <v>31</v>
      </c>
      <c r="U7" s="15" t="s">
        <v>72</v>
      </c>
      <c r="V7" s="3" t="s">
        <v>73</v>
      </c>
    </row>
    <row r="8" spans="1:22" ht="23.25">
      <c r="A8" s="3">
        <v>4</v>
      </c>
      <c r="B8" s="6" t="s">
        <v>32</v>
      </c>
      <c r="C8" s="3" t="s">
        <v>33</v>
      </c>
      <c r="D8" s="3" t="s">
        <v>21</v>
      </c>
      <c r="E8" s="3">
        <v>4</v>
      </c>
      <c r="F8" s="9">
        <v>62.072400000000002</v>
      </c>
      <c r="G8" s="9">
        <v>56</v>
      </c>
      <c r="H8" s="9" t="s">
        <v>22</v>
      </c>
      <c r="I8" s="9">
        <v>62.07</v>
      </c>
      <c r="J8" s="3" t="s">
        <v>68</v>
      </c>
      <c r="K8" s="3" t="s">
        <v>79</v>
      </c>
      <c r="L8" s="3" t="s">
        <v>80</v>
      </c>
      <c r="M8" s="3" t="s">
        <v>71</v>
      </c>
      <c r="N8" s="12">
        <v>6.038E-3</v>
      </c>
      <c r="O8" s="18">
        <v>200</v>
      </c>
      <c r="P8" s="9">
        <v>30.19</v>
      </c>
      <c r="Q8" s="9">
        <v>28.17</v>
      </c>
      <c r="R8" s="9">
        <v>34.229999999999997</v>
      </c>
      <c r="S8" s="9">
        <v>2</v>
      </c>
      <c r="T8" s="15" t="s">
        <v>34</v>
      </c>
      <c r="U8" s="15" t="s">
        <v>72</v>
      </c>
      <c r="V8" s="3" t="s">
        <v>73</v>
      </c>
    </row>
    <row r="9" spans="1:22" ht="23.25">
      <c r="A9" s="3">
        <v>5</v>
      </c>
      <c r="B9" s="6" t="s">
        <v>35</v>
      </c>
      <c r="C9" s="3" t="s">
        <v>36</v>
      </c>
      <c r="D9" s="3" t="s">
        <v>21</v>
      </c>
      <c r="E9" s="3">
        <v>6</v>
      </c>
      <c r="F9" s="9">
        <v>61.805</v>
      </c>
      <c r="G9" s="9">
        <v>50</v>
      </c>
      <c r="H9" s="9" t="s">
        <v>30</v>
      </c>
      <c r="I9" s="9">
        <v>61.8</v>
      </c>
      <c r="J9" s="3" t="s">
        <v>81</v>
      </c>
      <c r="K9" s="3" t="s">
        <v>82</v>
      </c>
      <c r="L9" s="3" t="s">
        <v>83</v>
      </c>
      <c r="M9" s="3" t="s">
        <v>71</v>
      </c>
      <c r="N9" s="12">
        <v>0</v>
      </c>
      <c r="O9" s="18">
        <v>0</v>
      </c>
      <c r="P9" s="9">
        <v>74.3</v>
      </c>
      <c r="Q9" s="9">
        <v>68.88</v>
      </c>
      <c r="R9" s="9">
        <v>85.13</v>
      </c>
      <c r="S9" s="9">
        <v>1.9982</v>
      </c>
      <c r="T9" s="15" t="s">
        <v>37</v>
      </c>
      <c r="U9" s="15" t="s">
        <v>72</v>
      </c>
      <c r="V9" s="3" t="s">
        <v>73</v>
      </c>
    </row>
    <row r="10" spans="1:22" ht="46.5">
      <c r="A10" s="3">
        <v>6</v>
      </c>
      <c r="B10" s="6" t="s">
        <v>38</v>
      </c>
      <c r="C10" s="3" t="s">
        <v>39</v>
      </c>
      <c r="D10" s="3" t="s">
        <v>21</v>
      </c>
      <c r="E10" s="3">
        <v>7</v>
      </c>
      <c r="F10" s="9">
        <v>61.7652</v>
      </c>
      <c r="G10" s="9">
        <v>50</v>
      </c>
      <c r="H10" s="9" t="s">
        <v>30</v>
      </c>
      <c r="I10" s="9">
        <v>61.77</v>
      </c>
      <c r="J10" s="3" t="s">
        <v>68</v>
      </c>
      <c r="K10" s="3" t="s">
        <v>69</v>
      </c>
      <c r="L10" s="3" t="s">
        <v>84</v>
      </c>
      <c r="M10" s="3" t="s">
        <v>71</v>
      </c>
      <c r="N10" s="12">
        <v>3.8990000000000001E-3</v>
      </c>
      <c r="O10" s="18">
        <v>100</v>
      </c>
      <c r="P10" s="9">
        <v>38.99</v>
      </c>
      <c r="Q10" s="9">
        <v>35.869999999999997</v>
      </c>
      <c r="R10" s="9">
        <v>45.77</v>
      </c>
      <c r="S10" s="9">
        <v>2.1730999999999998</v>
      </c>
      <c r="T10" s="15" t="s">
        <v>40</v>
      </c>
      <c r="U10" s="15" t="s">
        <v>72</v>
      </c>
      <c r="V10" s="3" t="s">
        <v>73</v>
      </c>
    </row>
    <row r="11" spans="1:22" ht="23.25">
      <c r="A11" s="3">
        <v>7</v>
      </c>
      <c r="B11" s="6" t="s">
        <v>41</v>
      </c>
      <c r="C11" s="3" t="s">
        <v>42</v>
      </c>
      <c r="D11" s="3" t="s">
        <v>21</v>
      </c>
      <c r="E11" s="3">
        <v>8</v>
      </c>
      <c r="F11" s="9">
        <v>61.757599999999996</v>
      </c>
      <c r="G11" s="9">
        <v>50</v>
      </c>
      <c r="H11" s="9" t="s">
        <v>30</v>
      </c>
      <c r="I11" s="9">
        <v>61.76</v>
      </c>
      <c r="J11" s="3" t="s">
        <v>68</v>
      </c>
      <c r="K11" s="3" t="s">
        <v>79</v>
      </c>
      <c r="L11" s="3" t="s">
        <v>85</v>
      </c>
      <c r="M11" s="3" t="s">
        <v>71</v>
      </c>
      <c r="N11" s="12">
        <v>8.2240000000000004E-3</v>
      </c>
      <c r="O11" s="18">
        <v>400</v>
      </c>
      <c r="P11" s="9">
        <v>20.56</v>
      </c>
      <c r="Q11" s="9">
        <v>19.71</v>
      </c>
      <c r="R11" s="9">
        <v>22.26</v>
      </c>
      <c r="S11" s="9">
        <v>2</v>
      </c>
      <c r="T11" s="15" t="s">
        <v>43</v>
      </c>
      <c r="U11" s="15" t="s">
        <v>72</v>
      </c>
      <c r="V11" s="3" t="s">
        <v>73</v>
      </c>
    </row>
    <row r="12" spans="1:22" ht="23.25">
      <c r="A12" s="3">
        <v>8</v>
      </c>
      <c r="B12" s="6" t="s">
        <v>44</v>
      </c>
      <c r="C12" s="3" t="s">
        <v>45</v>
      </c>
      <c r="D12" s="3" t="s">
        <v>21</v>
      </c>
      <c r="E12" s="3">
        <v>9</v>
      </c>
      <c r="F12" s="9">
        <v>61.339700000000001</v>
      </c>
      <c r="G12" s="9">
        <v>53.5</v>
      </c>
      <c r="H12" s="9" t="s">
        <v>30</v>
      </c>
      <c r="I12" s="9">
        <v>61.34</v>
      </c>
      <c r="J12" s="3" t="s">
        <v>68</v>
      </c>
      <c r="K12" s="3" t="s">
        <v>86</v>
      </c>
      <c r="L12" s="3" t="s">
        <v>87</v>
      </c>
      <c r="M12" s="3" t="s">
        <v>71</v>
      </c>
      <c r="N12" s="12">
        <v>0</v>
      </c>
      <c r="O12" s="18">
        <v>0</v>
      </c>
      <c r="P12" s="9">
        <v>228.78</v>
      </c>
      <c r="Q12" s="9">
        <v>212.55</v>
      </c>
      <c r="R12" s="9">
        <v>261.24</v>
      </c>
      <c r="S12" s="9">
        <v>2</v>
      </c>
      <c r="T12" s="15" t="s">
        <v>46</v>
      </c>
      <c r="U12" s="15" t="s">
        <v>72</v>
      </c>
      <c r="V12" s="3" t="s">
        <v>73</v>
      </c>
    </row>
    <row r="13" spans="1:22" ht="46.5">
      <c r="A13" s="3">
        <v>9</v>
      </c>
      <c r="B13" s="6" t="s">
        <v>47</v>
      </c>
      <c r="C13" s="3" t="s">
        <v>48</v>
      </c>
      <c r="D13" s="3" t="s">
        <v>49</v>
      </c>
      <c r="E13" s="3">
        <v>10</v>
      </c>
      <c r="F13" s="9">
        <v>61.261699999999998</v>
      </c>
      <c r="G13" s="9">
        <v>50</v>
      </c>
      <c r="H13" s="9" t="s">
        <v>30</v>
      </c>
      <c r="I13" s="9">
        <v>61.26</v>
      </c>
      <c r="J13" s="3" t="s">
        <v>68</v>
      </c>
      <c r="K13" s="3" t="s">
        <v>82</v>
      </c>
      <c r="L13" s="3" t="s">
        <v>88</v>
      </c>
      <c r="M13" s="3" t="s">
        <v>71</v>
      </c>
      <c r="N13" s="12">
        <v>0</v>
      </c>
      <c r="O13" s="18">
        <v>0</v>
      </c>
      <c r="P13" s="9">
        <v>95.17</v>
      </c>
      <c r="Q13" s="9">
        <v>88.26</v>
      </c>
      <c r="R13" s="9">
        <v>109</v>
      </c>
      <c r="S13" s="9">
        <v>2.0013999999999998</v>
      </c>
      <c r="T13" s="15" t="s">
        <v>50</v>
      </c>
      <c r="U13" s="15" t="s">
        <v>72</v>
      </c>
      <c r="V13" s="3" t="s">
        <v>73</v>
      </c>
    </row>
    <row r="14" spans="1:22" ht="23.25">
      <c r="A14" s="3">
        <v>10</v>
      </c>
      <c r="B14" s="6" t="s">
        <v>51</v>
      </c>
      <c r="C14" s="3" t="s">
        <v>52</v>
      </c>
      <c r="D14" s="3" t="s">
        <v>21</v>
      </c>
      <c r="E14" s="3">
        <v>16</v>
      </c>
      <c r="F14" s="9">
        <v>60.676000000000002</v>
      </c>
      <c r="G14" s="9">
        <v>51.5</v>
      </c>
      <c r="H14" s="9" t="s">
        <v>30</v>
      </c>
      <c r="I14" s="9">
        <v>60.68</v>
      </c>
      <c r="J14" s="3" t="s">
        <v>68</v>
      </c>
      <c r="K14" s="3" t="s">
        <v>89</v>
      </c>
      <c r="L14" s="3" t="s">
        <v>90</v>
      </c>
      <c r="M14" s="3" t="s">
        <v>71</v>
      </c>
      <c r="N14" s="12">
        <v>1.0047E-2</v>
      </c>
      <c r="O14" s="18">
        <v>1700</v>
      </c>
      <c r="P14" s="9">
        <v>5.91</v>
      </c>
      <c r="Q14" s="9">
        <v>5.68</v>
      </c>
      <c r="R14" s="9">
        <v>6.38</v>
      </c>
      <c r="S14" s="9">
        <v>2.0434999999999999</v>
      </c>
      <c r="T14" s="15" t="s">
        <v>53</v>
      </c>
      <c r="U14" s="15" t="s">
        <v>72</v>
      </c>
      <c r="V14" s="3" t="s">
        <v>73</v>
      </c>
    </row>
    <row r="15" spans="1:22" ht="23.25">
      <c r="A15" s="3">
        <v>11</v>
      </c>
      <c r="B15" s="6" t="s">
        <v>91</v>
      </c>
      <c r="C15" s="3" t="s">
        <v>92</v>
      </c>
      <c r="D15" s="3" t="s">
        <v>21</v>
      </c>
      <c r="E15" s="3">
        <v>43</v>
      </c>
      <c r="F15" s="9">
        <v>58.741700000000002</v>
      </c>
      <c r="G15" s="9">
        <v>59</v>
      </c>
      <c r="H15" s="9" t="s">
        <v>22</v>
      </c>
      <c r="I15" s="9">
        <v>58.74</v>
      </c>
      <c r="J15" s="3" t="s">
        <v>68</v>
      </c>
      <c r="K15" s="3" t="s">
        <v>69</v>
      </c>
      <c r="L15" s="3" t="s">
        <v>93</v>
      </c>
      <c r="M15" s="3" t="s">
        <v>71</v>
      </c>
      <c r="N15" s="12">
        <v>0</v>
      </c>
      <c r="O15" s="18">
        <v>0</v>
      </c>
      <c r="P15" s="9">
        <v>293.81</v>
      </c>
      <c r="Q15" s="9">
        <v>270.31</v>
      </c>
      <c r="R15" s="9">
        <v>358.49</v>
      </c>
      <c r="S15" s="9">
        <v>2.7523</v>
      </c>
      <c r="T15" s="15" t="s">
        <v>94</v>
      </c>
      <c r="U15" s="15" t="s">
        <v>72</v>
      </c>
      <c r="V15" s="3" t="s">
        <v>73</v>
      </c>
    </row>
    <row r="16" spans="1:22" ht="23.25">
      <c r="A16" s="3">
        <v>12</v>
      </c>
      <c r="B16" s="6" t="s">
        <v>95</v>
      </c>
      <c r="C16" s="3" t="s">
        <v>96</v>
      </c>
      <c r="D16" s="3" t="s">
        <v>21</v>
      </c>
      <c r="E16" s="3">
        <v>57</v>
      </c>
      <c r="F16" s="9">
        <v>57.728900000000003</v>
      </c>
      <c r="G16" s="9">
        <v>59.5</v>
      </c>
      <c r="H16" s="9" t="s">
        <v>22</v>
      </c>
      <c r="I16" s="9">
        <v>57.7</v>
      </c>
      <c r="J16" s="3" t="s">
        <v>81</v>
      </c>
      <c r="K16" s="3" t="s">
        <v>97</v>
      </c>
      <c r="L16" s="3" t="s">
        <v>98</v>
      </c>
      <c r="M16" s="3" t="s">
        <v>71</v>
      </c>
      <c r="N16" s="12">
        <v>0</v>
      </c>
      <c r="O16" s="18">
        <v>0</v>
      </c>
      <c r="P16" s="9">
        <v>74.53</v>
      </c>
      <c r="Q16" s="9">
        <v>68.569999999999993</v>
      </c>
      <c r="R16" s="9">
        <v>87.51</v>
      </c>
      <c r="S16" s="9">
        <v>2.1779000000000002</v>
      </c>
      <c r="T16" s="15" t="s">
        <v>99</v>
      </c>
      <c r="U16" s="15" t="s">
        <v>72</v>
      </c>
      <c r="V16" s="3" t="s">
        <v>73</v>
      </c>
    </row>
    <row r="17" spans="1:22" ht="34.9">
      <c r="A17" s="3">
        <v>13</v>
      </c>
      <c r="B17" s="6" t="s">
        <v>100</v>
      </c>
      <c r="C17" s="3" t="s">
        <v>101</v>
      </c>
      <c r="D17" s="3" t="s">
        <v>21</v>
      </c>
      <c r="E17" s="3">
        <v>75</v>
      </c>
      <c r="F17" s="9">
        <v>56.736600000000003</v>
      </c>
      <c r="G17" s="9">
        <v>63.5</v>
      </c>
      <c r="H17" s="9" t="s">
        <v>22</v>
      </c>
      <c r="I17" s="9">
        <v>56.7</v>
      </c>
      <c r="J17" s="3" t="s">
        <v>68</v>
      </c>
      <c r="K17" s="3" t="s">
        <v>76</v>
      </c>
      <c r="L17" s="3" t="s">
        <v>102</v>
      </c>
      <c r="M17" s="3" t="s">
        <v>71</v>
      </c>
      <c r="N17" s="12">
        <v>2.9619999999999998E-3</v>
      </c>
      <c r="O17" s="18">
        <v>100</v>
      </c>
      <c r="P17" s="9">
        <v>29.62</v>
      </c>
      <c r="Q17" s="9">
        <v>27.25</v>
      </c>
      <c r="R17" s="9">
        <v>36.51</v>
      </c>
      <c r="S17" s="9">
        <v>2.9072</v>
      </c>
      <c r="T17" s="15" t="s">
        <v>103</v>
      </c>
      <c r="U17" s="15" t="s">
        <v>72</v>
      </c>
      <c r="V17" s="3" t="s">
        <v>73</v>
      </c>
    </row>
    <row r="18" spans="1:22" ht="23.25">
      <c r="A18" s="3">
        <v>14</v>
      </c>
      <c r="B18" s="6" t="s">
        <v>104</v>
      </c>
      <c r="C18" s="3" t="s">
        <v>105</v>
      </c>
      <c r="D18" s="3" t="s">
        <v>21</v>
      </c>
      <c r="E18" s="3">
        <v>80</v>
      </c>
      <c r="F18" s="9">
        <v>56.414900000000003</v>
      </c>
      <c r="G18" s="9">
        <v>59</v>
      </c>
      <c r="H18" s="9" t="s">
        <v>22</v>
      </c>
      <c r="I18" s="9">
        <v>56.41</v>
      </c>
      <c r="J18" s="3" t="s">
        <v>68</v>
      </c>
      <c r="K18" s="3" t="s">
        <v>106</v>
      </c>
      <c r="L18" s="3" t="s">
        <v>107</v>
      </c>
      <c r="M18" s="3" t="s">
        <v>71</v>
      </c>
      <c r="N18" s="12">
        <v>6.4260000000000003E-3</v>
      </c>
      <c r="O18" s="18">
        <v>600</v>
      </c>
      <c r="P18" s="9">
        <v>10.71</v>
      </c>
      <c r="Q18" s="9">
        <v>10.14</v>
      </c>
      <c r="R18" s="9">
        <v>11.85</v>
      </c>
      <c r="S18" s="9">
        <v>2</v>
      </c>
      <c r="T18" s="15" t="s">
        <v>108</v>
      </c>
      <c r="U18" s="15" t="s">
        <v>72</v>
      </c>
      <c r="V18" s="3" t="s">
        <v>73</v>
      </c>
    </row>
    <row r="19" spans="1:22" ht="23.25">
      <c r="A19" s="3">
        <v>15</v>
      </c>
      <c r="B19" s="6" t="s">
        <v>109</v>
      </c>
      <c r="C19" s="3" t="s">
        <v>110</v>
      </c>
      <c r="D19" s="3" t="s">
        <v>21</v>
      </c>
      <c r="E19" s="3">
        <v>78</v>
      </c>
      <c r="F19" s="9">
        <v>56.433500000000002</v>
      </c>
      <c r="G19" s="9">
        <v>58.4</v>
      </c>
      <c r="H19" s="9" t="s">
        <v>22</v>
      </c>
      <c r="I19" s="9">
        <v>56.4</v>
      </c>
      <c r="J19" s="3" t="s">
        <v>68</v>
      </c>
      <c r="K19" s="3" t="s">
        <v>82</v>
      </c>
      <c r="L19" s="3" t="s">
        <v>111</v>
      </c>
      <c r="M19" s="3" t="s">
        <v>71</v>
      </c>
      <c r="N19" s="12">
        <v>7.92E-3</v>
      </c>
      <c r="O19" s="18">
        <v>500</v>
      </c>
      <c r="P19" s="9">
        <v>15.84</v>
      </c>
      <c r="Q19" s="9">
        <v>15.21</v>
      </c>
      <c r="R19" s="9">
        <v>17.100000000000001</v>
      </c>
      <c r="S19" s="9">
        <v>2</v>
      </c>
      <c r="T19" s="15" t="s">
        <v>112</v>
      </c>
      <c r="U19" s="15" t="s">
        <v>72</v>
      </c>
      <c r="V19" s="3" t="s">
        <v>73</v>
      </c>
    </row>
    <row r="20" spans="1:22" ht="34.9">
      <c r="A20" s="3">
        <v>16</v>
      </c>
      <c r="B20" s="6" t="s">
        <v>113</v>
      </c>
      <c r="C20" s="3" t="s">
        <v>114</v>
      </c>
      <c r="D20" s="3" t="s">
        <v>21</v>
      </c>
      <c r="E20" s="3">
        <v>82</v>
      </c>
      <c r="F20" s="9">
        <v>56.3752</v>
      </c>
      <c r="G20" s="9">
        <v>53.5</v>
      </c>
      <c r="H20" s="9" t="s">
        <v>30</v>
      </c>
      <c r="I20" s="9">
        <v>56.38</v>
      </c>
      <c r="J20" s="3" t="s">
        <v>68</v>
      </c>
      <c r="K20" s="3" t="s">
        <v>69</v>
      </c>
      <c r="L20" s="3" t="s">
        <v>115</v>
      </c>
      <c r="M20" s="3" t="s">
        <v>71</v>
      </c>
      <c r="N20" s="12">
        <v>0</v>
      </c>
      <c r="O20" s="18">
        <v>0</v>
      </c>
      <c r="P20" s="9">
        <v>274.83</v>
      </c>
      <c r="Q20" s="9">
        <v>252.84</v>
      </c>
      <c r="R20" s="9">
        <v>336.65</v>
      </c>
      <c r="S20" s="9">
        <v>2.8113000000000001</v>
      </c>
      <c r="T20" s="15" t="s">
        <v>116</v>
      </c>
      <c r="U20" s="15" t="s">
        <v>72</v>
      </c>
      <c r="V20" s="3" t="s">
        <v>73</v>
      </c>
    </row>
    <row r="21" spans="1:22" ht="34.9">
      <c r="A21" s="3">
        <v>17</v>
      </c>
      <c r="B21" s="6" t="s">
        <v>117</v>
      </c>
      <c r="C21" s="3" t="s">
        <v>118</v>
      </c>
      <c r="D21" s="3" t="s">
        <v>21</v>
      </c>
      <c r="E21" s="3">
        <v>88</v>
      </c>
      <c r="F21" s="9">
        <v>56.0398</v>
      </c>
      <c r="G21" s="9">
        <v>58.5</v>
      </c>
      <c r="H21" s="9" t="s">
        <v>22</v>
      </c>
      <c r="I21" s="9">
        <v>56</v>
      </c>
      <c r="J21" s="3" t="s">
        <v>68</v>
      </c>
      <c r="K21" s="3" t="s">
        <v>76</v>
      </c>
      <c r="L21" s="3" t="s">
        <v>119</v>
      </c>
      <c r="M21" s="3" t="s">
        <v>71</v>
      </c>
      <c r="N21" s="12">
        <v>0</v>
      </c>
      <c r="O21" s="18">
        <v>0</v>
      </c>
      <c r="P21" s="9">
        <v>56.27</v>
      </c>
      <c r="Q21" s="9">
        <v>52.35</v>
      </c>
      <c r="R21" s="9">
        <v>64.12</v>
      </c>
      <c r="S21" s="9">
        <v>2.0026000000000002</v>
      </c>
      <c r="T21" s="15" t="s">
        <v>120</v>
      </c>
      <c r="U21" s="15" t="s">
        <v>72</v>
      </c>
      <c r="V21" s="3" t="s">
        <v>73</v>
      </c>
    </row>
    <row r="22" spans="1:22" ht="34.9">
      <c r="A22" s="3">
        <v>18</v>
      </c>
      <c r="B22" s="6" t="s">
        <v>121</v>
      </c>
      <c r="C22" s="3" t="s">
        <v>122</v>
      </c>
      <c r="D22" s="3" t="s">
        <v>21</v>
      </c>
      <c r="E22" s="3">
        <v>95</v>
      </c>
      <c r="F22" s="9">
        <v>55.7712</v>
      </c>
      <c r="G22" s="9">
        <v>57.5</v>
      </c>
      <c r="H22" s="9" t="s">
        <v>22</v>
      </c>
      <c r="I22" s="9">
        <v>55.77</v>
      </c>
      <c r="J22" s="3" t="s">
        <v>81</v>
      </c>
      <c r="K22" s="3" t="s">
        <v>123</v>
      </c>
      <c r="L22" s="3" t="s">
        <v>124</v>
      </c>
      <c r="M22" s="3" t="s">
        <v>78</v>
      </c>
      <c r="N22" s="12">
        <v>0</v>
      </c>
      <c r="O22" s="18">
        <v>0</v>
      </c>
      <c r="P22" s="9">
        <v>45.58</v>
      </c>
      <c r="Q22" s="9">
        <v>41.93</v>
      </c>
      <c r="R22" s="9">
        <v>53.47</v>
      </c>
      <c r="S22" s="9">
        <v>2.1616</v>
      </c>
      <c r="T22" s="15" t="s">
        <v>125</v>
      </c>
      <c r="U22" s="15" t="s">
        <v>126</v>
      </c>
      <c r="V22" s="3" t="s">
        <v>73</v>
      </c>
    </row>
    <row r="23" spans="1:22" ht="34.9">
      <c r="A23" s="3">
        <v>19</v>
      </c>
      <c r="B23" s="6" t="s">
        <v>127</v>
      </c>
      <c r="C23" s="3" t="s">
        <v>128</v>
      </c>
      <c r="D23" s="3" t="s">
        <v>21</v>
      </c>
      <c r="E23" s="3">
        <v>97</v>
      </c>
      <c r="F23" s="9">
        <v>55.725900000000003</v>
      </c>
      <c r="G23" s="9">
        <v>53.5</v>
      </c>
      <c r="H23" s="9" t="s">
        <v>30</v>
      </c>
      <c r="I23" s="9">
        <v>55.73</v>
      </c>
      <c r="J23" s="3" t="s">
        <v>81</v>
      </c>
      <c r="K23" s="3" t="s">
        <v>97</v>
      </c>
      <c r="L23" s="3" t="s">
        <v>129</v>
      </c>
      <c r="M23" s="3" t="s">
        <v>71</v>
      </c>
      <c r="N23" s="12">
        <v>4.836E-3</v>
      </c>
      <c r="O23" s="18">
        <v>1200</v>
      </c>
      <c r="P23" s="9">
        <v>4.03</v>
      </c>
      <c r="Q23" s="9">
        <v>3.76</v>
      </c>
      <c r="R23" s="9">
        <v>4.57</v>
      </c>
      <c r="S23" s="9">
        <v>2</v>
      </c>
      <c r="T23" s="15" t="s">
        <v>130</v>
      </c>
      <c r="U23" s="15" t="s">
        <v>72</v>
      </c>
      <c r="V23" s="3" t="s">
        <v>73</v>
      </c>
    </row>
    <row r="24" spans="1:22">
      <c r="A24" s="3">
        <v>20</v>
      </c>
      <c r="B24" s="6" t="s">
        <v>131</v>
      </c>
      <c r="C24" s="3" t="s">
        <v>132</v>
      </c>
      <c r="D24" s="3" t="s">
        <v>21</v>
      </c>
      <c r="E24" s="3">
        <v>15</v>
      </c>
      <c r="F24" s="9">
        <v>60.751100000000001</v>
      </c>
      <c r="G24" s="9">
        <v>54</v>
      </c>
      <c r="H24" s="9" t="s">
        <v>30</v>
      </c>
      <c r="I24" s="9">
        <v>54</v>
      </c>
      <c r="J24" s="3" t="s">
        <v>81</v>
      </c>
      <c r="K24" s="3" t="s">
        <v>69</v>
      </c>
      <c r="L24" s="3" t="s">
        <v>74</v>
      </c>
      <c r="M24" s="3" t="s">
        <v>71</v>
      </c>
      <c r="N24" s="12">
        <v>3.5620000000000001E-3</v>
      </c>
      <c r="O24" s="18">
        <v>100</v>
      </c>
      <c r="P24" s="9">
        <v>35.619999999999997</v>
      </c>
      <c r="Q24" s="9">
        <v>32.799999999999997</v>
      </c>
      <c r="R24" s="9">
        <v>41.25</v>
      </c>
      <c r="S24" s="9">
        <v>1.9964999999999999</v>
      </c>
      <c r="T24" s="15" t="s">
        <v>133</v>
      </c>
      <c r="U24" s="15" t="s">
        <v>72</v>
      </c>
      <c r="V24" s="3" t="s">
        <v>73</v>
      </c>
    </row>
    <row r="25" spans="1:22" ht="34.9">
      <c r="A25" s="3">
        <v>21</v>
      </c>
      <c r="B25" s="6" t="s">
        <v>134</v>
      </c>
      <c r="C25" s="3" t="s">
        <v>135</v>
      </c>
      <c r="D25" s="3" t="s">
        <v>49</v>
      </c>
      <c r="E25" s="3">
        <v>186</v>
      </c>
      <c r="F25" s="9">
        <v>53.309699999999999</v>
      </c>
      <c r="G25" s="9">
        <v>50</v>
      </c>
      <c r="H25" s="9" t="s">
        <v>30</v>
      </c>
      <c r="I25" s="9">
        <v>53.31</v>
      </c>
      <c r="J25" s="3" t="s">
        <v>81</v>
      </c>
      <c r="K25" s="3" t="s">
        <v>136</v>
      </c>
      <c r="L25" s="3" t="s">
        <v>137</v>
      </c>
      <c r="M25" s="3" t="s">
        <v>71</v>
      </c>
      <c r="N25" s="12">
        <v>3.7729999999999999E-3</v>
      </c>
      <c r="O25" s="18">
        <v>700</v>
      </c>
      <c r="P25" s="9">
        <v>5.39</v>
      </c>
      <c r="Q25" s="9">
        <v>4.96</v>
      </c>
      <c r="R25" s="9">
        <v>6.31</v>
      </c>
      <c r="S25" s="9">
        <v>2.1395</v>
      </c>
      <c r="T25" s="15" t="s">
        <v>138</v>
      </c>
      <c r="U25" s="15" t="s">
        <v>72</v>
      </c>
      <c r="V25" s="3" t="s">
        <v>73</v>
      </c>
    </row>
    <row r="26" spans="1:22" ht="23.25">
      <c r="A26" s="3">
        <v>22</v>
      </c>
      <c r="B26" s="6" t="s">
        <v>139</v>
      </c>
      <c r="C26" s="3" t="s">
        <v>140</v>
      </c>
      <c r="D26" s="3" t="s">
        <v>49</v>
      </c>
      <c r="E26" s="3">
        <v>236</v>
      </c>
      <c r="F26" s="9">
        <v>52.177399999999999</v>
      </c>
      <c r="G26" s="9">
        <v>50</v>
      </c>
      <c r="H26" s="9" t="s">
        <v>30</v>
      </c>
      <c r="I26" s="9">
        <v>52.18</v>
      </c>
      <c r="J26" s="3" t="s">
        <v>81</v>
      </c>
      <c r="K26" s="3" t="s">
        <v>141</v>
      </c>
      <c r="L26" s="3" t="s">
        <v>142</v>
      </c>
      <c r="M26" s="3" t="s">
        <v>71</v>
      </c>
      <c r="N26" s="12">
        <v>2.2100000000000002E-3</v>
      </c>
      <c r="O26" s="18">
        <v>100</v>
      </c>
      <c r="P26" s="9">
        <v>22.1</v>
      </c>
      <c r="Q26" s="9">
        <v>20.329999999999998</v>
      </c>
      <c r="R26" s="9">
        <v>27.8</v>
      </c>
      <c r="S26" s="9">
        <v>3.2202999999999999</v>
      </c>
      <c r="T26" s="15" t="s">
        <v>143</v>
      </c>
      <c r="U26" s="15" t="s">
        <v>72</v>
      </c>
      <c r="V26" s="3" t="s">
        <v>73</v>
      </c>
    </row>
    <row r="27" spans="1:22" ht="34.9">
      <c r="A27" s="3">
        <v>23</v>
      </c>
      <c r="B27" s="6" t="s">
        <v>144</v>
      </c>
      <c r="C27" s="3" t="s">
        <v>145</v>
      </c>
      <c r="D27" s="3" t="s">
        <v>49</v>
      </c>
      <c r="E27" s="3">
        <v>545</v>
      </c>
      <c r="F27" s="9">
        <v>47.462699999999998</v>
      </c>
      <c r="G27" s="9">
        <v>50</v>
      </c>
      <c r="H27" s="9" t="s">
        <v>30</v>
      </c>
      <c r="I27" s="9">
        <v>47.46</v>
      </c>
      <c r="J27" s="3" t="s">
        <v>146</v>
      </c>
      <c r="K27" s="3" t="s">
        <v>69</v>
      </c>
      <c r="L27" s="3" t="s">
        <v>147</v>
      </c>
      <c r="M27" s="3" t="s">
        <v>71</v>
      </c>
      <c r="N27" s="12">
        <v>0</v>
      </c>
      <c r="O27" s="18">
        <v>0</v>
      </c>
      <c r="P27" s="9">
        <v>171.37</v>
      </c>
      <c r="Q27" s="9">
        <v>157.66</v>
      </c>
      <c r="R27" s="9">
        <v>209.8</v>
      </c>
      <c r="S27" s="9">
        <v>2.8031000000000001</v>
      </c>
      <c r="T27" s="15" t="s">
        <v>148</v>
      </c>
      <c r="U27" s="15" t="s">
        <v>72</v>
      </c>
      <c r="V27" s="3" t="s">
        <v>73</v>
      </c>
    </row>
    <row r="28" spans="1:22" ht="23.25">
      <c r="A28" s="3">
        <v>24</v>
      </c>
      <c r="B28" s="6" t="s">
        <v>149</v>
      </c>
      <c r="C28" s="3" t="s">
        <v>150</v>
      </c>
      <c r="D28" s="3" t="s">
        <v>21</v>
      </c>
      <c r="E28" s="3">
        <v>2</v>
      </c>
      <c r="F28" s="9">
        <v>62.659599999999998</v>
      </c>
      <c r="G28" s="9">
        <v>50</v>
      </c>
      <c r="H28" s="9" t="s">
        <v>30</v>
      </c>
      <c r="I28" s="9">
        <v>45</v>
      </c>
      <c r="J28" s="3" t="s">
        <v>81</v>
      </c>
      <c r="K28" s="3" t="s">
        <v>151</v>
      </c>
      <c r="L28" s="3" t="s">
        <v>152</v>
      </c>
      <c r="M28" s="3" t="s">
        <v>78</v>
      </c>
      <c r="N28" s="12">
        <v>6.6039999999999996E-3</v>
      </c>
      <c r="O28" s="18">
        <v>400</v>
      </c>
      <c r="P28" s="9">
        <v>16.510000000000002</v>
      </c>
      <c r="Q28" s="9">
        <v>15.52</v>
      </c>
      <c r="R28" s="9">
        <v>18.489999999999998</v>
      </c>
      <c r="S28" s="9">
        <v>2</v>
      </c>
      <c r="T28" s="15" t="s">
        <v>153</v>
      </c>
      <c r="U28" s="15" t="s">
        <v>72</v>
      </c>
      <c r="V28" s="3" t="s">
        <v>73</v>
      </c>
    </row>
    <row r="29" spans="1:22" ht="23.25">
      <c r="A29" s="3">
        <v>25</v>
      </c>
      <c r="B29" s="6" t="s">
        <v>154</v>
      </c>
      <c r="C29" s="3" t="s">
        <v>155</v>
      </c>
      <c r="D29" s="3" t="s">
        <v>49</v>
      </c>
      <c r="E29" s="3">
        <v>59</v>
      </c>
      <c r="F29" s="9">
        <v>57.7226</v>
      </c>
      <c r="G29" s="9">
        <v>50</v>
      </c>
      <c r="H29" s="9" t="s">
        <v>30</v>
      </c>
      <c r="I29" s="9">
        <v>45</v>
      </c>
      <c r="J29" s="3" t="s">
        <v>81</v>
      </c>
      <c r="K29" s="3" t="s">
        <v>136</v>
      </c>
      <c r="L29" s="3" t="s">
        <v>156</v>
      </c>
      <c r="M29" s="3" t="s">
        <v>71</v>
      </c>
      <c r="N29" s="12">
        <v>4.718E-3</v>
      </c>
      <c r="O29" s="18">
        <v>200</v>
      </c>
      <c r="P29" s="9">
        <v>23.59</v>
      </c>
      <c r="Q29" s="9">
        <v>21.86</v>
      </c>
      <c r="R29" s="9">
        <v>27.05</v>
      </c>
      <c r="S29" s="9">
        <v>2</v>
      </c>
      <c r="T29" s="15" t="s">
        <v>157</v>
      </c>
      <c r="U29" s="15" t="s">
        <v>72</v>
      </c>
      <c r="V29" s="3" t="s">
        <v>73</v>
      </c>
    </row>
    <row r="30" spans="1:22">
      <c r="A30" s="3">
        <v>26</v>
      </c>
      <c r="B30" s="6" t="s">
        <v>158</v>
      </c>
      <c r="C30" s="3" t="s">
        <v>159</v>
      </c>
      <c r="D30" s="3" t="s">
        <v>49</v>
      </c>
      <c r="E30" s="3">
        <v>821</v>
      </c>
      <c r="F30" s="9">
        <v>44.345199999999998</v>
      </c>
      <c r="G30" s="9"/>
      <c r="H30" s="9" t="s">
        <v>30</v>
      </c>
      <c r="I30" s="9">
        <v>44.35</v>
      </c>
      <c r="J30" s="3" t="s">
        <v>146</v>
      </c>
      <c r="K30" s="3" t="s">
        <v>160</v>
      </c>
      <c r="L30" s="3" t="s">
        <v>161</v>
      </c>
      <c r="M30" s="3" t="s">
        <v>71</v>
      </c>
      <c r="N30" s="12">
        <v>0</v>
      </c>
      <c r="O30" s="18">
        <v>0</v>
      </c>
      <c r="P30" s="9"/>
      <c r="Q30" s="9"/>
      <c r="R30" s="9"/>
      <c r="S30" s="9"/>
      <c r="T30" s="15" t="s">
        <v>162</v>
      </c>
      <c r="U30" s="15" t="s">
        <v>72</v>
      </c>
      <c r="V30" s="3" t="s">
        <v>163</v>
      </c>
    </row>
    <row r="31" spans="1:22" ht="23.25">
      <c r="A31" s="4">
        <v>27</v>
      </c>
      <c r="B31" s="7" t="s">
        <v>164</v>
      </c>
      <c r="C31" s="4" t="s">
        <v>165</v>
      </c>
      <c r="D31" s="4" t="s">
        <v>49</v>
      </c>
      <c r="E31" s="4">
        <v>4088</v>
      </c>
      <c r="F31" s="10">
        <v>25.546500000000002</v>
      </c>
      <c r="G31" s="10">
        <v>50</v>
      </c>
      <c r="H31" s="10" t="s">
        <v>30</v>
      </c>
      <c r="I31" s="10">
        <v>25.55</v>
      </c>
      <c r="J31" s="4" t="s">
        <v>146</v>
      </c>
      <c r="K31" s="4" t="s">
        <v>166</v>
      </c>
      <c r="L31" s="4" t="s">
        <v>167</v>
      </c>
      <c r="M31" s="4" t="s">
        <v>71</v>
      </c>
      <c r="N31" s="13">
        <v>0</v>
      </c>
      <c r="O31" s="19">
        <v>0</v>
      </c>
      <c r="P31" s="10">
        <v>23.04</v>
      </c>
      <c r="Q31" s="10">
        <v>21.2</v>
      </c>
      <c r="R31" s="10">
        <v>27.46</v>
      </c>
      <c r="S31" s="10">
        <v>2.4022000000000001</v>
      </c>
      <c r="T31" s="16" t="s">
        <v>168</v>
      </c>
      <c r="U31" s="16" t="s">
        <v>72</v>
      </c>
      <c r="V31" s="4" t="s">
        <v>73</v>
      </c>
    </row>
  </sheetData>
  <mergeCells count="2">
    <mergeCell ref="A1:V2"/>
    <mergeCell ref="A3:V3"/>
  </mergeCells>
  <phoneticPr fontId="9" type="noConversion"/>
  <conditionalFormatting sqref="G5:G31">
    <cfRule type="colorScale" priority="1">
      <colorScale>
        <cfvo type="min"/>
        <cfvo type="percentile" val="50"/>
        <cfvo type="max"/>
        <color rgb="FFF4CCCC"/>
        <color rgb="FFFFF2CC"/>
        <color rgb="FFC6E0B4"/>
      </colorScale>
    </cfRule>
  </conditionalFormatting>
  <conditionalFormatting sqref="I5:I31">
    <cfRule type="colorScale" priority="2">
      <colorScale>
        <cfvo type="min"/>
        <cfvo type="percentile" val="50"/>
        <cfvo type="max"/>
        <color rgb="FFF4CCCC"/>
        <color rgb="FFFFF2CC"/>
        <color rgb="FFC6E0B4"/>
      </colorScale>
    </cfRule>
  </conditionalFormatting>
  <conditionalFormatting sqref="H5:H31">
    <cfRule type="containsText" dxfId="6" priority="3" operator="containsText" text="优先复核"/>
  </conditionalFormatting>
  <conditionalFormatting sqref="V5:V31">
    <cfRule type="containsText" dxfId="5" priority="4" operator="containsText" text="已阻断"/>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33"/>
  <sheetViews>
    <sheetView showGridLines="0" topLeftCell="E8" zoomScale="69" workbookViewId="0">
      <selection activeCell="X4" sqref="X1:X1048576"/>
    </sheetView>
  </sheetViews>
  <sheetFormatPr defaultRowHeight="13.5"/>
  <cols>
    <col min="1" max="1" width="11" customWidth="1"/>
    <col min="2" max="4" width="15" customWidth="1"/>
    <col min="5" max="23" width="11" customWidth="1"/>
    <col min="24" max="24" width="42" hidden="1" customWidth="1"/>
  </cols>
  <sheetData>
    <row r="1" spans="1:24" ht="28.05" customHeight="1">
      <c r="A1" s="25" t="s">
        <v>169</v>
      </c>
      <c r="B1" s="26"/>
      <c r="C1" s="26"/>
      <c r="D1" s="26"/>
      <c r="E1" s="26"/>
      <c r="F1" s="26"/>
      <c r="G1" s="26"/>
      <c r="H1" s="26"/>
      <c r="I1" s="26"/>
      <c r="J1" s="26"/>
      <c r="K1" s="26"/>
      <c r="L1" s="26"/>
      <c r="M1" s="26"/>
      <c r="N1" s="26"/>
      <c r="O1" s="26"/>
      <c r="P1" s="26"/>
      <c r="Q1" s="26"/>
      <c r="R1" s="26"/>
      <c r="S1" s="26"/>
      <c r="T1" s="26"/>
      <c r="U1" s="26"/>
      <c r="V1" s="26"/>
      <c r="W1" s="26"/>
      <c r="X1" s="26"/>
    </row>
    <row r="2" spans="1:24">
      <c r="A2" s="26"/>
      <c r="B2" s="26"/>
      <c r="C2" s="26"/>
      <c r="D2" s="26"/>
      <c r="E2" s="26"/>
      <c r="F2" s="26"/>
      <c r="G2" s="26"/>
      <c r="H2" s="26"/>
      <c r="I2" s="26"/>
      <c r="J2" s="26"/>
      <c r="K2" s="26"/>
      <c r="L2" s="26"/>
      <c r="M2" s="26"/>
      <c r="N2" s="26"/>
      <c r="O2" s="26"/>
      <c r="P2" s="26"/>
      <c r="Q2" s="26"/>
      <c r="R2" s="26"/>
      <c r="S2" s="26"/>
      <c r="T2" s="26"/>
      <c r="U2" s="26"/>
      <c r="V2" s="26"/>
      <c r="W2" s="26"/>
      <c r="X2" s="26"/>
    </row>
    <row r="3" spans="1:24" ht="22.05" customHeight="1">
      <c r="A3" s="27" t="s">
        <v>170</v>
      </c>
      <c r="B3" s="26"/>
      <c r="C3" s="26"/>
      <c r="D3" s="26"/>
      <c r="E3" s="26"/>
      <c r="F3" s="26"/>
      <c r="G3" s="26"/>
      <c r="H3" s="26"/>
      <c r="I3" s="26"/>
      <c r="J3" s="26"/>
      <c r="K3" s="26"/>
      <c r="L3" s="26"/>
      <c r="M3" s="26"/>
      <c r="N3" s="26"/>
      <c r="O3" s="26"/>
      <c r="P3" s="26"/>
      <c r="Q3" s="26"/>
      <c r="R3" s="26"/>
      <c r="S3" s="26"/>
      <c r="T3" s="26"/>
      <c r="U3" s="26"/>
      <c r="V3" s="26"/>
      <c r="W3" s="26"/>
      <c r="X3" s="26"/>
    </row>
    <row r="4" spans="1:24" ht="32" customHeight="1">
      <c r="A4" s="1" t="s">
        <v>7</v>
      </c>
      <c r="B4" s="1" t="s">
        <v>8</v>
      </c>
      <c r="C4" s="1" t="s">
        <v>9</v>
      </c>
      <c r="D4" s="1" t="s">
        <v>55</v>
      </c>
      <c r="E4" s="1" t="s">
        <v>57</v>
      </c>
      <c r="F4" s="1" t="s">
        <v>58</v>
      </c>
      <c r="G4" s="1" t="s">
        <v>59</v>
      </c>
      <c r="H4" s="1" t="s">
        <v>12</v>
      </c>
      <c r="I4" s="1" t="s">
        <v>171</v>
      </c>
      <c r="J4" s="1" t="s">
        <v>172</v>
      </c>
      <c r="K4" s="1" t="s">
        <v>173</v>
      </c>
      <c r="L4" s="1" t="s">
        <v>15</v>
      </c>
      <c r="M4" s="1" t="s">
        <v>174</v>
      </c>
      <c r="N4" s="1" t="s">
        <v>16</v>
      </c>
      <c r="O4" s="1" t="s">
        <v>175</v>
      </c>
      <c r="P4" s="1" t="s">
        <v>17</v>
      </c>
      <c r="Q4" s="1" t="s">
        <v>176</v>
      </c>
      <c r="R4" s="1" t="s">
        <v>177</v>
      </c>
      <c r="S4" s="1" t="s">
        <v>178</v>
      </c>
      <c r="T4" s="1" t="s">
        <v>14</v>
      </c>
      <c r="U4" s="1" t="s">
        <v>179</v>
      </c>
      <c r="V4" s="1" t="s">
        <v>64</v>
      </c>
      <c r="W4" s="1" t="s">
        <v>180</v>
      </c>
      <c r="X4" s="1" t="s">
        <v>181</v>
      </c>
    </row>
    <row r="5" spans="1:24" ht="23.25">
      <c r="A5" s="2">
        <v>1</v>
      </c>
      <c r="B5" s="5" t="s">
        <v>19</v>
      </c>
      <c r="C5" s="2" t="s">
        <v>20</v>
      </c>
      <c r="D5" s="2" t="s">
        <v>21</v>
      </c>
      <c r="E5" s="8">
        <v>59.4071</v>
      </c>
      <c r="F5" s="8">
        <v>65.5</v>
      </c>
      <c r="G5" s="8" t="s">
        <v>22</v>
      </c>
      <c r="H5" s="8">
        <v>65.5</v>
      </c>
      <c r="I5" s="8">
        <v>124.98</v>
      </c>
      <c r="J5" s="8">
        <v>145.94</v>
      </c>
      <c r="K5" s="8">
        <v>176.35</v>
      </c>
      <c r="L5" s="8">
        <v>145.94</v>
      </c>
      <c r="M5" s="8">
        <v>171.17</v>
      </c>
      <c r="N5" s="8">
        <v>134.26</v>
      </c>
      <c r="O5" s="8">
        <v>158.15</v>
      </c>
      <c r="P5" s="8">
        <v>170.36</v>
      </c>
      <c r="Q5" s="8">
        <v>1.0454000000000001</v>
      </c>
      <c r="R5" s="8">
        <v>2.0908000000000002</v>
      </c>
      <c r="S5" s="8">
        <v>2.0908000000000002</v>
      </c>
      <c r="T5" s="11">
        <v>0</v>
      </c>
      <c r="U5" s="20">
        <v>0</v>
      </c>
      <c r="V5" s="17">
        <v>0</v>
      </c>
      <c r="W5" s="20">
        <v>0</v>
      </c>
      <c r="X5" s="14" t="s">
        <v>182</v>
      </c>
    </row>
    <row r="6" spans="1:24" ht="23.25">
      <c r="A6" s="3">
        <v>2</v>
      </c>
      <c r="B6" s="6" t="s">
        <v>24</v>
      </c>
      <c r="C6" s="3" t="s">
        <v>25</v>
      </c>
      <c r="D6" s="3" t="s">
        <v>21</v>
      </c>
      <c r="E6" s="9">
        <v>63.001100000000001</v>
      </c>
      <c r="F6" s="9">
        <v>77</v>
      </c>
      <c r="G6" s="9" t="s">
        <v>26</v>
      </c>
      <c r="H6" s="9">
        <v>63</v>
      </c>
      <c r="I6" s="9">
        <v>160.63999999999999</v>
      </c>
      <c r="J6" s="9">
        <v>186.85</v>
      </c>
      <c r="K6" s="9">
        <v>227.01</v>
      </c>
      <c r="L6" s="9">
        <v>186.85</v>
      </c>
      <c r="M6" s="9">
        <v>219.1</v>
      </c>
      <c r="N6" s="9">
        <v>173.96</v>
      </c>
      <c r="O6" s="9">
        <v>199.74</v>
      </c>
      <c r="P6" s="9">
        <v>212.62</v>
      </c>
      <c r="Q6" s="9">
        <v>1</v>
      </c>
      <c r="R6" s="9">
        <v>1.9992000000000001</v>
      </c>
      <c r="S6" s="9">
        <v>1.9992000000000001</v>
      </c>
      <c r="T6" s="12">
        <v>0</v>
      </c>
      <c r="U6" s="21">
        <v>0</v>
      </c>
      <c r="V6" s="18">
        <v>0</v>
      </c>
      <c r="W6" s="21">
        <v>0</v>
      </c>
      <c r="X6" s="15" t="s">
        <v>182</v>
      </c>
    </row>
    <row r="7" spans="1:24" ht="23.25">
      <c r="A7" s="3">
        <v>3</v>
      </c>
      <c r="B7" s="6" t="s">
        <v>28</v>
      </c>
      <c r="C7" s="3" t="s">
        <v>29</v>
      </c>
      <c r="D7" s="3" t="s">
        <v>21</v>
      </c>
      <c r="E7" s="9">
        <v>62.495600000000003</v>
      </c>
      <c r="F7" s="9">
        <v>50</v>
      </c>
      <c r="G7" s="9" t="s">
        <v>30</v>
      </c>
      <c r="H7" s="9">
        <v>62.5</v>
      </c>
      <c r="I7" s="9">
        <v>50.88</v>
      </c>
      <c r="J7" s="9">
        <v>56.97</v>
      </c>
      <c r="K7" s="9">
        <v>65.489999999999995</v>
      </c>
      <c r="L7" s="9">
        <v>65.489999999999995</v>
      </c>
      <c r="M7" s="9">
        <v>66.569999999999993</v>
      </c>
      <c r="N7" s="9">
        <v>61.81</v>
      </c>
      <c r="O7" s="9">
        <v>69.17</v>
      </c>
      <c r="P7" s="9">
        <v>72.86</v>
      </c>
      <c r="Q7" s="9">
        <v>1</v>
      </c>
      <c r="R7" s="9">
        <v>2.0026999999999999</v>
      </c>
      <c r="S7" s="9">
        <v>2.0026999999999999</v>
      </c>
      <c r="T7" s="12">
        <v>6.5490000000000001E-3</v>
      </c>
      <c r="U7" s="21">
        <v>6549</v>
      </c>
      <c r="V7" s="18">
        <v>100</v>
      </c>
      <c r="W7" s="21">
        <v>368</v>
      </c>
      <c r="X7" s="15" t="s">
        <v>183</v>
      </c>
    </row>
    <row r="8" spans="1:24" ht="23.25">
      <c r="A8" s="3">
        <v>4</v>
      </c>
      <c r="B8" s="6" t="s">
        <v>32</v>
      </c>
      <c r="C8" s="3" t="s">
        <v>33</v>
      </c>
      <c r="D8" s="3" t="s">
        <v>21</v>
      </c>
      <c r="E8" s="9">
        <v>62.072400000000002</v>
      </c>
      <c r="F8" s="9">
        <v>56</v>
      </c>
      <c r="G8" s="9" t="s">
        <v>22</v>
      </c>
      <c r="H8" s="9">
        <v>62.07</v>
      </c>
      <c r="I8" s="9">
        <v>23.54</v>
      </c>
      <c r="J8" s="9">
        <v>26.3</v>
      </c>
      <c r="K8" s="9">
        <v>30.19</v>
      </c>
      <c r="L8" s="9">
        <v>30.19</v>
      </c>
      <c r="M8" s="9">
        <v>31.03</v>
      </c>
      <c r="N8" s="9">
        <v>28.17</v>
      </c>
      <c r="O8" s="9">
        <v>32.21</v>
      </c>
      <c r="P8" s="9">
        <v>34.229999999999997</v>
      </c>
      <c r="Q8" s="9">
        <v>1</v>
      </c>
      <c r="R8" s="9">
        <v>2</v>
      </c>
      <c r="S8" s="9">
        <v>2</v>
      </c>
      <c r="T8" s="12">
        <v>6.038E-3</v>
      </c>
      <c r="U8" s="21">
        <v>6038</v>
      </c>
      <c r="V8" s="18">
        <v>200</v>
      </c>
      <c r="W8" s="21">
        <v>404</v>
      </c>
      <c r="X8" s="15" t="s">
        <v>183</v>
      </c>
    </row>
    <row r="9" spans="1:24" ht="23.25">
      <c r="A9" s="3">
        <v>5</v>
      </c>
      <c r="B9" s="6" t="s">
        <v>35</v>
      </c>
      <c r="C9" s="3" t="s">
        <v>36</v>
      </c>
      <c r="D9" s="3" t="s">
        <v>21</v>
      </c>
      <c r="E9" s="9">
        <v>61.805</v>
      </c>
      <c r="F9" s="9">
        <v>50</v>
      </c>
      <c r="G9" s="9" t="s">
        <v>30</v>
      </c>
      <c r="H9" s="9">
        <v>61.8</v>
      </c>
      <c r="I9" s="9">
        <v>58</v>
      </c>
      <c r="J9" s="9">
        <v>74.3</v>
      </c>
      <c r="K9" s="9">
        <v>94.39</v>
      </c>
      <c r="L9" s="9">
        <v>74.3</v>
      </c>
      <c r="M9" s="9">
        <v>93.85</v>
      </c>
      <c r="N9" s="9">
        <v>68.88</v>
      </c>
      <c r="O9" s="9">
        <v>79.72</v>
      </c>
      <c r="P9" s="9">
        <v>85.13</v>
      </c>
      <c r="Q9" s="9">
        <v>1</v>
      </c>
      <c r="R9" s="9">
        <v>1.9982</v>
      </c>
      <c r="S9" s="9">
        <v>1.9982</v>
      </c>
      <c r="T9" s="12">
        <v>0</v>
      </c>
      <c r="U9" s="21">
        <v>0</v>
      </c>
      <c r="V9" s="18">
        <v>0</v>
      </c>
      <c r="W9" s="21">
        <v>0</v>
      </c>
      <c r="X9" s="15" t="s">
        <v>182</v>
      </c>
    </row>
    <row r="10" spans="1:24" ht="23.25">
      <c r="A10" s="3">
        <v>6</v>
      </c>
      <c r="B10" s="6" t="s">
        <v>38</v>
      </c>
      <c r="C10" s="3" t="s">
        <v>39</v>
      </c>
      <c r="D10" s="3" t="s">
        <v>21</v>
      </c>
      <c r="E10" s="9">
        <v>61.7652</v>
      </c>
      <c r="F10" s="9">
        <v>50</v>
      </c>
      <c r="G10" s="9" t="s">
        <v>30</v>
      </c>
      <c r="H10" s="9">
        <v>61.77</v>
      </c>
      <c r="I10" s="9">
        <v>34.01</v>
      </c>
      <c r="J10" s="9">
        <v>38.99</v>
      </c>
      <c r="K10" s="9">
        <v>48.57</v>
      </c>
      <c r="L10" s="9">
        <v>38.99</v>
      </c>
      <c r="M10" s="9">
        <v>44.65</v>
      </c>
      <c r="N10" s="9">
        <v>35.869999999999997</v>
      </c>
      <c r="O10" s="9">
        <v>42.38</v>
      </c>
      <c r="P10" s="9">
        <v>45.77</v>
      </c>
      <c r="Q10" s="9">
        <v>1.0865</v>
      </c>
      <c r="R10" s="9">
        <v>2.1730999999999998</v>
      </c>
      <c r="S10" s="9">
        <v>2.1730999999999998</v>
      </c>
      <c r="T10" s="12">
        <v>3.8990000000000001E-3</v>
      </c>
      <c r="U10" s="21">
        <v>3899</v>
      </c>
      <c r="V10" s="18">
        <v>100</v>
      </c>
      <c r="W10" s="21">
        <v>312</v>
      </c>
      <c r="X10" s="15" t="s">
        <v>183</v>
      </c>
    </row>
    <row r="11" spans="1:24" ht="23.25">
      <c r="A11" s="3">
        <v>7</v>
      </c>
      <c r="B11" s="6" t="s">
        <v>41</v>
      </c>
      <c r="C11" s="3" t="s">
        <v>42</v>
      </c>
      <c r="D11" s="3" t="s">
        <v>21</v>
      </c>
      <c r="E11" s="9">
        <v>61.757599999999996</v>
      </c>
      <c r="F11" s="9">
        <v>50</v>
      </c>
      <c r="G11" s="9" t="s">
        <v>30</v>
      </c>
      <c r="H11" s="9">
        <v>61.76</v>
      </c>
      <c r="I11" s="9">
        <v>17.600000000000001</v>
      </c>
      <c r="J11" s="9">
        <v>18.850000000000001</v>
      </c>
      <c r="K11" s="9">
        <v>20.56</v>
      </c>
      <c r="L11" s="9">
        <v>20.56</v>
      </c>
      <c r="M11" s="9">
        <v>21.09</v>
      </c>
      <c r="N11" s="9">
        <v>19.71</v>
      </c>
      <c r="O11" s="9">
        <v>21.41</v>
      </c>
      <c r="P11" s="9">
        <v>22.26</v>
      </c>
      <c r="Q11" s="9">
        <v>1</v>
      </c>
      <c r="R11" s="9">
        <v>2</v>
      </c>
      <c r="S11" s="9">
        <v>2</v>
      </c>
      <c r="T11" s="12">
        <v>8.2240000000000004E-3</v>
      </c>
      <c r="U11" s="21">
        <v>8224</v>
      </c>
      <c r="V11" s="18">
        <v>400</v>
      </c>
      <c r="W11" s="21">
        <v>340</v>
      </c>
      <c r="X11" s="15" t="s">
        <v>183</v>
      </c>
    </row>
    <row r="12" spans="1:24" ht="23.25">
      <c r="A12" s="3">
        <v>8</v>
      </c>
      <c r="B12" s="6" t="s">
        <v>44</v>
      </c>
      <c r="C12" s="3" t="s">
        <v>45</v>
      </c>
      <c r="D12" s="3" t="s">
        <v>21</v>
      </c>
      <c r="E12" s="9">
        <v>61.339700000000001</v>
      </c>
      <c r="F12" s="9">
        <v>53.5</v>
      </c>
      <c r="G12" s="9" t="s">
        <v>30</v>
      </c>
      <c r="H12" s="9">
        <v>61.34</v>
      </c>
      <c r="I12" s="9">
        <v>196.98</v>
      </c>
      <c r="J12" s="9">
        <v>228.78</v>
      </c>
      <c r="K12" s="9">
        <v>286.01</v>
      </c>
      <c r="L12" s="9">
        <v>228.78</v>
      </c>
      <c r="M12" s="9">
        <v>270.89999999999998</v>
      </c>
      <c r="N12" s="9">
        <v>212.55</v>
      </c>
      <c r="O12" s="9">
        <v>245.01</v>
      </c>
      <c r="P12" s="9">
        <v>261.24</v>
      </c>
      <c r="Q12" s="9">
        <v>1</v>
      </c>
      <c r="R12" s="9">
        <v>2</v>
      </c>
      <c r="S12" s="9">
        <v>2</v>
      </c>
      <c r="T12" s="12">
        <v>0</v>
      </c>
      <c r="U12" s="21">
        <v>0</v>
      </c>
      <c r="V12" s="18">
        <v>0</v>
      </c>
      <c r="W12" s="21">
        <v>0</v>
      </c>
      <c r="X12" s="15" t="s">
        <v>182</v>
      </c>
    </row>
    <row r="13" spans="1:24" ht="34.9">
      <c r="A13" s="3">
        <v>9</v>
      </c>
      <c r="B13" s="6" t="s">
        <v>47</v>
      </c>
      <c r="C13" s="3" t="s">
        <v>48</v>
      </c>
      <c r="D13" s="3" t="s">
        <v>49</v>
      </c>
      <c r="E13" s="9">
        <v>61.261699999999998</v>
      </c>
      <c r="F13" s="9">
        <v>50</v>
      </c>
      <c r="G13" s="9" t="s">
        <v>30</v>
      </c>
      <c r="H13" s="9">
        <v>61.26</v>
      </c>
      <c r="I13" s="9">
        <v>82.35</v>
      </c>
      <c r="J13" s="9">
        <v>95.17</v>
      </c>
      <c r="K13" s="9">
        <v>113.01</v>
      </c>
      <c r="L13" s="9">
        <v>95.17</v>
      </c>
      <c r="M13" s="9">
        <v>112.87</v>
      </c>
      <c r="N13" s="9">
        <v>88.26</v>
      </c>
      <c r="O13" s="9">
        <v>102.08</v>
      </c>
      <c r="P13" s="9">
        <v>109</v>
      </c>
      <c r="Q13" s="9">
        <v>1</v>
      </c>
      <c r="R13" s="9">
        <v>2.0013999999999998</v>
      </c>
      <c r="S13" s="9">
        <v>2.0013999999999998</v>
      </c>
      <c r="T13" s="12">
        <v>0</v>
      </c>
      <c r="U13" s="21">
        <v>0</v>
      </c>
      <c r="V13" s="18">
        <v>0</v>
      </c>
      <c r="W13" s="21">
        <v>0</v>
      </c>
      <c r="X13" s="15" t="s">
        <v>184</v>
      </c>
    </row>
    <row r="14" spans="1:24" ht="23.25">
      <c r="A14" s="3">
        <v>10</v>
      </c>
      <c r="B14" s="6" t="s">
        <v>51</v>
      </c>
      <c r="C14" s="3" t="s">
        <v>52</v>
      </c>
      <c r="D14" s="3" t="s">
        <v>21</v>
      </c>
      <c r="E14" s="9">
        <v>60.676000000000002</v>
      </c>
      <c r="F14" s="9">
        <v>51.5</v>
      </c>
      <c r="G14" s="9" t="s">
        <v>30</v>
      </c>
      <c r="H14" s="9">
        <v>60.68</v>
      </c>
      <c r="I14" s="9">
        <v>4.5999999999999996</v>
      </c>
      <c r="J14" s="9">
        <v>5.1100000000000003</v>
      </c>
      <c r="K14" s="9">
        <v>5.91</v>
      </c>
      <c r="L14" s="9">
        <v>5.91</v>
      </c>
      <c r="M14" s="9">
        <v>5.94</v>
      </c>
      <c r="N14" s="9">
        <v>5.68</v>
      </c>
      <c r="O14" s="9">
        <v>6.14</v>
      </c>
      <c r="P14" s="9">
        <v>6.38</v>
      </c>
      <c r="Q14" s="9">
        <v>1</v>
      </c>
      <c r="R14" s="9">
        <v>2.0434999999999999</v>
      </c>
      <c r="S14" s="9">
        <v>2.0434999999999999</v>
      </c>
      <c r="T14" s="12">
        <v>1.0047E-2</v>
      </c>
      <c r="U14" s="21">
        <v>10047</v>
      </c>
      <c r="V14" s="18">
        <v>1700</v>
      </c>
      <c r="W14" s="21">
        <v>391</v>
      </c>
      <c r="X14" s="15" t="s">
        <v>183</v>
      </c>
    </row>
    <row r="15" spans="1:24" ht="23.25">
      <c r="A15" s="3">
        <v>11</v>
      </c>
      <c r="B15" s="6" t="s">
        <v>91</v>
      </c>
      <c r="C15" s="3" t="s">
        <v>92</v>
      </c>
      <c r="D15" s="3" t="s">
        <v>21</v>
      </c>
      <c r="E15" s="9">
        <v>58.741700000000002</v>
      </c>
      <c r="F15" s="9">
        <v>59</v>
      </c>
      <c r="G15" s="9" t="s">
        <v>22</v>
      </c>
      <c r="H15" s="9">
        <v>58.74</v>
      </c>
      <c r="I15" s="9">
        <v>221.8</v>
      </c>
      <c r="J15" s="9">
        <v>293.81</v>
      </c>
      <c r="K15" s="9">
        <v>395.01</v>
      </c>
      <c r="L15" s="9">
        <v>293.81</v>
      </c>
      <c r="M15" s="9">
        <v>369.92</v>
      </c>
      <c r="N15" s="9">
        <v>270.31</v>
      </c>
      <c r="O15" s="9">
        <v>326.14999999999998</v>
      </c>
      <c r="P15" s="9">
        <v>358.49</v>
      </c>
      <c r="Q15" s="9">
        <v>1.3762000000000001</v>
      </c>
      <c r="R15" s="9">
        <v>2.7523</v>
      </c>
      <c r="S15" s="9">
        <v>2.7523</v>
      </c>
      <c r="T15" s="12">
        <v>0</v>
      </c>
      <c r="U15" s="21">
        <v>0</v>
      </c>
      <c r="V15" s="18">
        <v>0</v>
      </c>
      <c r="W15" s="21">
        <v>0</v>
      </c>
      <c r="X15" s="15" t="s">
        <v>182</v>
      </c>
    </row>
    <row r="16" spans="1:24" ht="23.25">
      <c r="A16" s="3">
        <v>12</v>
      </c>
      <c r="B16" s="6" t="s">
        <v>95</v>
      </c>
      <c r="C16" s="3" t="s">
        <v>96</v>
      </c>
      <c r="D16" s="3" t="s">
        <v>21</v>
      </c>
      <c r="E16" s="9">
        <v>57.728900000000003</v>
      </c>
      <c r="F16" s="9">
        <v>59.5</v>
      </c>
      <c r="G16" s="9" t="s">
        <v>22</v>
      </c>
      <c r="H16" s="9">
        <v>57.7</v>
      </c>
      <c r="I16" s="9">
        <v>61.32</v>
      </c>
      <c r="J16" s="9">
        <v>74.53</v>
      </c>
      <c r="K16" s="9">
        <v>92.58</v>
      </c>
      <c r="L16" s="9">
        <v>74.53</v>
      </c>
      <c r="M16" s="9">
        <v>91.48</v>
      </c>
      <c r="N16" s="9">
        <v>68.569999999999993</v>
      </c>
      <c r="O16" s="9">
        <v>81.02</v>
      </c>
      <c r="P16" s="9">
        <v>87.51</v>
      </c>
      <c r="Q16" s="9">
        <v>1.0889</v>
      </c>
      <c r="R16" s="9">
        <v>2.1779000000000002</v>
      </c>
      <c r="S16" s="9">
        <v>2.1779000000000002</v>
      </c>
      <c r="T16" s="12">
        <v>0</v>
      </c>
      <c r="U16" s="21">
        <v>0</v>
      </c>
      <c r="V16" s="18">
        <v>0</v>
      </c>
      <c r="W16" s="21">
        <v>0</v>
      </c>
      <c r="X16" s="15" t="s">
        <v>182</v>
      </c>
    </row>
    <row r="17" spans="1:24" ht="23.25">
      <c r="A17" s="3">
        <v>13</v>
      </c>
      <c r="B17" s="6" t="s">
        <v>100</v>
      </c>
      <c r="C17" s="3" t="s">
        <v>101</v>
      </c>
      <c r="D17" s="3" t="s">
        <v>21</v>
      </c>
      <c r="E17" s="9">
        <v>56.736600000000003</v>
      </c>
      <c r="F17" s="9">
        <v>63.5</v>
      </c>
      <c r="G17" s="9" t="s">
        <v>22</v>
      </c>
      <c r="H17" s="9">
        <v>56.7</v>
      </c>
      <c r="I17" s="9">
        <v>22.81</v>
      </c>
      <c r="J17" s="9">
        <v>29.62</v>
      </c>
      <c r="K17" s="9">
        <v>39.31</v>
      </c>
      <c r="L17" s="9">
        <v>29.62</v>
      </c>
      <c r="M17" s="9">
        <v>37.380000000000003</v>
      </c>
      <c r="N17" s="9">
        <v>27.25</v>
      </c>
      <c r="O17" s="9">
        <v>33.07</v>
      </c>
      <c r="P17" s="9">
        <v>36.51</v>
      </c>
      <c r="Q17" s="9">
        <v>1.4557</v>
      </c>
      <c r="R17" s="9">
        <v>2.9072</v>
      </c>
      <c r="S17" s="9">
        <v>2.9072</v>
      </c>
      <c r="T17" s="12">
        <v>2.9619999999999998E-3</v>
      </c>
      <c r="U17" s="21">
        <v>2962</v>
      </c>
      <c r="V17" s="18">
        <v>100</v>
      </c>
      <c r="W17" s="21">
        <v>237</v>
      </c>
      <c r="X17" s="15" t="s">
        <v>183</v>
      </c>
    </row>
    <row r="18" spans="1:24" ht="23.25">
      <c r="A18" s="3">
        <v>14</v>
      </c>
      <c r="B18" s="6" t="s">
        <v>104</v>
      </c>
      <c r="C18" s="3" t="s">
        <v>105</v>
      </c>
      <c r="D18" s="3" t="s">
        <v>21</v>
      </c>
      <c r="E18" s="9">
        <v>56.414900000000003</v>
      </c>
      <c r="F18" s="9">
        <v>59</v>
      </c>
      <c r="G18" s="9" t="s">
        <v>22</v>
      </c>
      <c r="H18" s="9">
        <v>56.41</v>
      </c>
      <c r="I18" s="9">
        <v>8.74</v>
      </c>
      <c r="J18" s="9">
        <v>9.57</v>
      </c>
      <c r="K18" s="9">
        <v>10.71</v>
      </c>
      <c r="L18" s="9">
        <v>10.71</v>
      </c>
      <c r="M18" s="9">
        <v>10.83</v>
      </c>
      <c r="N18" s="9">
        <v>10.14</v>
      </c>
      <c r="O18" s="9">
        <v>11.28</v>
      </c>
      <c r="P18" s="9">
        <v>11.85</v>
      </c>
      <c r="Q18" s="9">
        <v>1</v>
      </c>
      <c r="R18" s="9">
        <v>2</v>
      </c>
      <c r="S18" s="9">
        <v>2</v>
      </c>
      <c r="T18" s="12">
        <v>6.4260000000000003E-3</v>
      </c>
      <c r="U18" s="21">
        <v>6426</v>
      </c>
      <c r="V18" s="18">
        <v>600</v>
      </c>
      <c r="W18" s="21">
        <v>342</v>
      </c>
      <c r="X18" s="15" t="s">
        <v>183</v>
      </c>
    </row>
    <row r="19" spans="1:24" ht="23.25">
      <c r="A19" s="3">
        <v>15</v>
      </c>
      <c r="B19" s="6" t="s">
        <v>109</v>
      </c>
      <c r="C19" s="3" t="s">
        <v>110</v>
      </c>
      <c r="D19" s="3" t="s">
        <v>21</v>
      </c>
      <c r="E19" s="9">
        <v>56.433500000000002</v>
      </c>
      <c r="F19" s="9">
        <v>58.4</v>
      </c>
      <c r="G19" s="9" t="s">
        <v>22</v>
      </c>
      <c r="H19" s="9">
        <v>56.4</v>
      </c>
      <c r="I19" s="9">
        <v>15.84</v>
      </c>
      <c r="J19" s="9">
        <v>16.61</v>
      </c>
      <c r="K19" s="9">
        <v>17.850000000000001</v>
      </c>
      <c r="L19" s="9">
        <v>15.84</v>
      </c>
      <c r="M19" s="9">
        <v>17.79</v>
      </c>
      <c r="N19" s="9">
        <v>15.21</v>
      </c>
      <c r="O19" s="9">
        <v>16.47</v>
      </c>
      <c r="P19" s="9">
        <v>17.100000000000001</v>
      </c>
      <c r="Q19" s="9">
        <v>1</v>
      </c>
      <c r="R19" s="9">
        <v>2</v>
      </c>
      <c r="S19" s="9">
        <v>2</v>
      </c>
      <c r="T19" s="12">
        <v>7.92E-3</v>
      </c>
      <c r="U19" s="21">
        <v>7920</v>
      </c>
      <c r="V19" s="18">
        <v>500</v>
      </c>
      <c r="W19" s="21">
        <v>315</v>
      </c>
      <c r="X19" s="15" t="s">
        <v>183</v>
      </c>
    </row>
    <row r="20" spans="1:24" ht="23.25">
      <c r="A20" s="3">
        <v>16</v>
      </c>
      <c r="B20" s="6" t="s">
        <v>113</v>
      </c>
      <c r="C20" s="3" t="s">
        <v>114</v>
      </c>
      <c r="D20" s="3" t="s">
        <v>21</v>
      </c>
      <c r="E20" s="9">
        <v>56.3752</v>
      </c>
      <c r="F20" s="9">
        <v>53.5</v>
      </c>
      <c r="G20" s="9" t="s">
        <v>30</v>
      </c>
      <c r="H20" s="9">
        <v>56.38</v>
      </c>
      <c r="I20" s="9">
        <v>222.21</v>
      </c>
      <c r="J20" s="9">
        <v>274.83</v>
      </c>
      <c r="K20" s="9">
        <v>366.01</v>
      </c>
      <c r="L20" s="9">
        <v>274.83</v>
      </c>
      <c r="M20" s="9">
        <v>328.44</v>
      </c>
      <c r="N20" s="9">
        <v>252.84</v>
      </c>
      <c r="O20" s="9">
        <v>305.74</v>
      </c>
      <c r="P20" s="9">
        <v>336.65</v>
      </c>
      <c r="Q20" s="9">
        <v>1.4056</v>
      </c>
      <c r="R20" s="9">
        <v>2.8113000000000001</v>
      </c>
      <c r="S20" s="9">
        <v>2.8113000000000001</v>
      </c>
      <c r="T20" s="12">
        <v>0</v>
      </c>
      <c r="U20" s="21">
        <v>0</v>
      </c>
      <c r="V20" s="18">
        <v>0</v>
      </c>
      <c r="W20" s="21">
        <v>0</v>
      </c>
      <c r="X20" s="15" t="s">
        <v>182</v>
      </c>
    </row>
    <row r="21" spans="1:24" ht="23.25">
      <c r="A21" s="3">
        <v>17</v>
      </c>
      <c r="B21" s="6" t="s">
        <v>117</v>
      </c>
      <c r="C21" s="3" t="s">
        <v>118</v>
      </c>
      <c r="D21" s="3" t="s">
        <v>21</v>
      </c>
      <c r="E21" s="9">
        <v>56.0398</v>
      </c>
      <c r="F21" s="9">
        <v>58.5</v>
      </c>
      <c r="G21" s="9" t="s">
        <v>22</v>
      </c>
      <c r="H21" s="9">
        <v>56</v>
      </c>
      <c r="I21" s="9">
        <v>50.85</v>
      </c>
      <c r="J21" s="9">
        <v>56.27</v>
      </c>
      <c r="K21" s="9">
        <v>64.52</v>
      </c>
      <c r="L21" s="9">
        <v>56.27</v>
      </c>
      <c r="M21" s="9">
        <v>64.3</v>
      </c>
      <c r="N21" s="9">
        <v>52.35</v>
      </c>
      <c r="O21" s="9">
        <v>60.19</v>
      </c>
      <c r="P21" s="9">
        <v>64.12</v>
      </c>
      <c r="Q21" s="9">
        <v>1</v>
      </c>
      <c r="R21" s="9">
        <v>2.0026000000000002</v>
      </c>
      <c r="S21" s="9">
        <v>2.0026000000000002</v>
      </c>
      <c r="T21" s="12">
        <v>0</v>
      </c>
      <c r="U21" s="21">
        <v>0</v>
      </c>
      <c r="V21" s="18">
        <v>0</v>
      </c>
      <c r="W21" s="21">
        <v>0</v>
      </c>
      <c r="X21" s="15" t="s">
        <v>182</v>
      </c>
    </row>
    <row r="22" spans="1:24" ht="23.25">
      <c r="A22" s="3">
        <v>18</v>
      </c>
      <c r="B22" s="6" t="s">
        <v>121</v>
      </c>
      <c r="C22" s="3" t="s">
        <v>122</v>
      </c>
      <c r="D22" s="3" t="s">
        <v>21</v>
      </c>
      <c r="E22" s="9">
        <v>55.7712</v>
      </c>
      <c r="F22" s="9">
        <v>57.5</v>
      </c>
      <c r="G22" s="9" t="s">
        <v>22</v>
      </c>
      <c r="H22" s="9">
        <v>55.77</v>
      </c>
      <c r="I22" s="9">
        <v>39.119999999999997</v>
      </c>
      <c r="J22" s="9">
        <v>45.58</v>
      </c>
      <c r="K22" s="9">
        <v>57.87</v>
      </c>
      <c r="L22" s="9">
        <v>45.58</v>
      </c>
      <c r="M22" s="9">
        <v>53.98</v>
      </c>
      <c r="N22" s="9">
        <v>41.93</v>
      </c>
      <c r="O22" s="9">
        <v>49.52</v>
      </c>
      <c r="P22" s="9">
        <v>53.47</v>
      </c>
      <c r="Q22" s="9">
        <v>1.0794999999999999</v>
      </c>
      <c r="R22" s="9">
        <v>2.1616</v>
      </c>
      <c r="S22" s="9">
        <v>2.1616</v>
      </c>
      <c r="T22" s="12">
        <v>0</v>
      </c>
      <c r="U22" s="21">
        <v>0</v>
      </c>
      <c r="V22" s="18">
        <v>0</v>
      </c>
      <c r="W22" s="21">
        <v>0</v>
      </c>
      <c r="X22" s="15" t="s">
        <v>182</v>
      </c>
    </row>
    <row r="23" spans="1:24" ht="23.25">
      <c r="A23" s="3">
        <v>19</v>
      </c>
      <c r="B23" s="6" t="s">
        <v>127</v>
      </c>
      <c r="C23" s="3" t="s">
        <v>128</v>
      </c>
      <c r="D23" s="3" t="s">
        <v>21</v>
      </c>
      <c r="E23" s="9">
        <v>55.725900000000003</v>
      </c>
      <c r="F23" s="9">
        <v>53.5</v>
      </c>
      <c r="G23" s="9" t="s">
        <v>30</v>
      </c>
      <c r="H23" s="9">
        <v>55.73</v>
      </c>
      <c r="I23" s="9">
        <v>3.04</v>
      </c>
      <c r="J23" s="9">
        <v>3.44</v>
      </c>
      <c r="K23" s="9">
        <v>4.03</v>
      </c>
      <c r="L23" s="9">
        <v>4.03</v>
      </c>
      <c r="M23" s="9">
        <v>4.07</v>
      </c>
      <c r="N23" s="9">
        <v>3.76</v>
      </c>
      <c r="O23" s="9">
        <v>4.3</v>
      </c>
      <c r="P23" s="9">
        <v>4.57</v>
      </c>
      <c r="Q23" s="9">
        <v>1</v>
      </c>
      <c r="R23" s="9">
        <v>2</v>
      </c>
      <c r="S23" s="9">
        <v>2</v>
      </c>
      <c r="T23" s="12">
        <v>4.836E-3</v>
      </c>
      <c r="U23" s="21">
        <v>4836</v>
      </c>
      <c r="V23" s="18">
        <v>1200</v>
      </c>
      <c r="W23" s="21">
        <v>324</v>
      </c>
      <c r="X23" s="15" t="s">
        <v>183</v>
      </c>
    </row>
    <row r="24" spans="1:24" ht="23.25">
      <c r="A24" s="3">
        <v>20</v>
      </c>
      <c r="B24" s="6" t="s">
        <v>131</v>
      </c>
      <c r="C24" s="3" t="s">
        <v>132</v>
      </c>
      <c r="D24" s="3" t="s">
        <v>21</v>
      </c>
      <c r="E24" s="9">
        <v>60.751100000000001</v>
      </c>
      <c r="F24" s="9">
        <v>54</v>
      </c>
      <c r="G24" s="9" t="s">
        <v>30</v>
      </c>
      <c r="H24" s="9">
        <v>54</v>
      </c>
      <c r="I24" s="9">
        <v>30.34</v>
      </c>
      <c r="J24" s="9">
        <v>35.619999999999997</v>
      </c>
      <c r="K24" s="9">
        <v>43.14</v>
      </c>
      <c r="L24" s="9">
        <v>35.619999999999997</v>
      </c>
      <c r="M24" s="9">
        <v>42.03</v>
      </c>
      <c r="N24" s="9">
        <v>32.799999999999997</v>
      </c>
      <c r="O24" s="9">
        <v>38.44</v>
      </c>
      <c r="P24" s="9">
        <v>41.25</v>
      </c>
      <c r="Q24" s="9">
        <v>1</v>
      </c>
      <c r="R24" s="9">
        <v>1.9964999999999999</v>
      </c>
      <c r="S24" s="9">
        <v>1.9964999999999999</v>
      </c>
      <c r="T24" s="12">
        <v>3.5620000000000001E-3</v>
      </c>
      <c r="U24" s="21">
        <v>3562</v>
      </c>
      <c r="V24" s="18">
        <v>100</v>
      </c>
      <c r="W24" s="21">
        <v>282</v>
      </c>
      <c r="X24" s="15" t="s">
        <v>183</v>
      </c>
    </row>
    <row r="25" spans="1:24" ht="23.25">
      <c r="A25" s="3">
        <v>21</v>
      </c>
      <c r="B25" s="6" t="s">
        <v>134</v>
      </c>
      <c r="C25" s="3" t="s">
        <v>135</v>
      </c>
      <c r="D25" s="3" t="s">
        <v>49</v>
      </c>
      <c r="E25" s="9">
        <v>53.309699999999999</v>
      </c>
      <c r="F25" s="9">
        <v>50</v>
      </c>
      <c r="G25" s="9" t="s">
        <v>30</v>
      </c>
      <c r="H25" s="9">
        <v>53.31</v>
      </c>
      <c r="I25" s="9">
        <v>4.57</v>
      </c>
      <c r="J25" s="9">
        <v>5.39</v>
      </c>
      <c r="K25" s="9">
        <v>6.76</v>
      </c>
      <c r="L25" s="9">
        <v>5.39</v>
      </c>
      <c r="M25" s="9">
        <v>6.51</v>
      </c>
      <c r="N25" s="9">
        <v>4.96</v>
      </c>
      <c r="O25" s="9">
        <v>5.85</v>
      </c>
      <c r="P25" s="9">
        <v>6.31</v>
      </c>
      <c r="Q25" s="9">
        <v>1.0698000000000001</v>
      </c>
      <c r="R25" s="9">
        <v>2.1395</v>
      </c>
      <c r="S25" s="9">
        <v>2.1395</v>
      </c>
      <c r="T25" s="12">
        <v>3.7729999999999999E-3</v>
      </c>
      <c r="U25" s="21">
        <v>3773</v>
      </c>
      <c r="V25" s="18">
        <v>700</v>
      </c>
      <c r="W25" s="21">
        <v>301</v>
      </c>
      <c r="X25" s="15" t="s">
        <v>185</v>
      </c>
    </row>
    <row r="26" spans="1:24" ht="23.25">
      <c r="A26" s="3">
        <v>22</v>
      </c>
      <c r="B26" s="6" t="s">
        <v>139</v>
      </c>
      <c r="C26" s="3" t="s">
        <v>140</v>
      </c>
      <c r="D26" s="3" t="s">
        <v>49</v>
      </c>
      <c r="E26" s="9">
        <v>52.177399999999999</v>
      </c>
      <c r="F26" s="9">
        <v>50</v>
      </c>
      <c r="G26" s="9" t="s">
        <v>30</v>
      </c>
      <c r="H26" s="9">
        <v>52.18</v>
      </c>
      <c r="I26" s="9">
        <v>16.54</v>
      </c>
      <c r="J26" s="9">
        <v>22.1</v>
      </c>
      <c r="K26" s="9">
        <v>31.01</v>
      </c>
      <c r="L26" s="9">
        <v>22.1</v>
      </c>
      <c r="M26" s="9">
        <v>28.3</v>
      </c>
      <c r="N26" s="9">
        <v>20.329999999999998</v>
      </c>
      <c r="O26" s="9">
        <v>24.95</v>
      </c>
      <c r="P26" s="9">
        <v>27.8</v>
      </c>
      <c r="Q26" s="9">
        <v>1.6102000000000001</v>
      </c>
      <c r="R26" s="9">
        <v>3.2202999999999999</v>
      </c>
      <c r="S26" s="9">
        <v>3.2202999999999999</v>
      </c>
      <c r="T26" s="12">
        <v>2.2100000000000002E-3</v>
      </c>
      <c r="U26" s="21">
        <v>2210</v>
      </c>
      <c r="V26" s="18">
        <v>100</v>
      </c>
      <c r="W26" s="21">
        <v>177</v>
      </c>
      <c r="X26" s="15" t="s">
        <v>185</v>
      </c>
    </row>
    <row r="27" spans="1:24" ht="34.9">
      <c r="A27" s="3">
        <v>23</v>
      </c>
      <c r="B27" s="6" t="s">
        <v>144</v>
      </c>
      <c r="C27" s="3" t="s">
        <v>145</v>
      </c>
      <c r="D27" s="3" t="s">
        <v>49</v>
      </c>
      <c r="E27" s="9">
        <v>47.462699999999998</v>
      </c>
      <c r="F27" s="9">
        <v>50</v>
      </c>
      <c r="G27" s="9" t="s">
        <v>30</v>
      </c>
      <c r="H27" s="9">
        <v>47.46</v>
      </c>
      <c r="I27" s="9">
        <v>128.96</v>
      </c>
      <c r="J27" s="9">
        <v>171.37</v>
      </c>
      <c r="K27" s="9">
        <v>246.45</v>
      </c>
      <c r="L27" s="9">
        <v>171.37</v>
      </c>
      <c r="M27" s="9">
        <v>217.52</v>
      </c>
      <c r="N27" s="9">
        <v>157.66</v>
      </c>
      <c r="O27" s="9">
        <v>190.59</v>
      </c>
      <c r="P27" s="9">
        <v>209.8</v>
      </c>
      <c r="Q27" s="9">
        <v>1.4018999999999999</v>
      </c>
      <c r="R27" s="9">
        <v>2.8031000000000001</v>
      </c>
      <c r="S27" s="9">
        <v>2.8031000000000001</v>
      </c>
      <c r="T27" s="12">
        <v>0</v>
      </c>
      <c r="U27" s="21">
        <v>0</v>
      </c>
      <c r="V27" s="18">
        <v>0</v>
      </c>
      <c r="W27" s="21">
        <v>0</v>
      </c>
      <c r="X27" s="15" t="s">
        <v>184</v>
      </c>
    </row>
    <row r="28" spans="1:24" ht="23.25">
      <c r="A28" s="3">
        <v>24</v>
      </c>
      <c r="B28" s="6" t="s">
        <v>149</v>
      </c>
      <c r="C28" s="3" t="s">
        <v>150</v>
      </c>
      <c r="D28" s="3" t="s">
        <v>21</v>
      </c>
      <c r="E28" s="9">
        <v>62.659599999999998</v>
      </c>
      <c r="F28" s="9">
        <v>50</v>
      </c>
      <c r="G28" s="9" t="s">
        <v>30</v>
      </c>
      <c r="H28" s="9">
        <v>45</v>
      </c>
      <c r="I28" s="9">
        <v>11.95</v>
      </c>
      <c r="J28" s="9">
        <v>13.73</v>
      </c>
      <c r="K28" s="9">
        <v>16.510000000000002</v>
      </c>
      <c r="L28" s="9">
        <v>16.510000000000002</v>
      </c>
      <c r="M28" s="9">
        <v>16.54</v>
      </c>
      <c r="N28" s="9">
        <v>15.52</v>
      </c>
      <c r="O28" s="9">
        <v>17.5</v>
      </c>
      <c r="P28" s="9">
        <v>18.489999999999998</v>
      </c>
      <c r="Q28" s="9">
        <v>1</v>
      </c>
      <c r="R28" s="9">
        <v>2</v>
      </c>
      <c r="S28" s="9">
        <v>2</v>
      </c>
      <c r="T28" s="12">
        <v>6.6039999999999996E-3</v>
      </c>
      <c r="U28" s="21">
        <v>6604</v>
      </c>
      <c r="V28" s="18">
        <v>400</v>
      </c>
      <c r="W28" s="21">
        <v>396</v>
      </c>
      <c r="X28" s="15" t="s">
        <v>183</v>
      </c>
    </row>
    <row r="29" spans="1:24" ht="23.25">
      <c r="A29" s="3">
        <v>25</v>
      </c>
      <c r="B29" s="6" t="s">
        <v>154</v>
      </c>
      <c r="C29" s="3" t="s">
        <v>155</v>
      </c>
      <c r="D29" s="3" t="s">
        <v>49</v>
      </c>
      <c r="E29" s="9">
        <v>57.7226</v>
      </c>
      <c r="F29" s="9">
        <v>50</v>
      </c>
      <c r="G29" s="9" t="s">
        <v>30</v>
      </c>
      <c r="H29" s="9">
        <v>45</v>
      </c>
      <c r="I29" s="9">
        <v>16.41</v>
      </c>
      <c r="J29" s="9">
        <v>19.489999999999998</v>
      </c>
      <c r="K29" s="9">
        <v>23.59</v>
      </c>
      <c r="L29" s="9">
        <v>23.59</v>
      </c>
      <c r="M29" s="9">
        <v>24.12</v>
      </c>
      <c r="N29" s="9">
        <v>21.86</v>
      </c>
      <c r="O29" s="9">
        <v>25.32</v>
      </c>
      <c r="P29" s="9">
        <v>27.05</v>
      </c>
      <c r="Q29" s="9">
        <v>1</v>
      </c>
      <c r="R29" s="9">
        <v>2</v>
      </c>
      <c r="S29" s="9">
        <v>2</v>
      </c>
      <c r="T29" s="12">
        <v>4.718E-3</v>
      </c>
      <c r="U29" s="21">
        <v>4718</v>
      </c>
      <c r="V29" s="18">
        <v>200</v>
      </c>
      <c r="W29" s="21">
        <v>346</v>
      </c>
      <c r="X29" s="15" t="s">
        <v>185</v>
      </c>
    </row>
    <row r="30" spans="1:24" ht="34.9">
      <c r="A30" s="3">
        <v>26</v>
      </c>
      <c r="B30" s="6" t="s">
        <v>158</v>
      </c>
      <c r="C30" s="3" t="s">
        <v>159</v>
      </c>
      <c r="D30" s="3" t="s">
        <v>49</v>
      </c>
      <c r="E30" s="9">
        <v>44.345199999999998</v>
      </c>
      <c r="F30" s="9"/>
      <c r="G30" s="9" t="s">
        <v>30</v>
      </c>
      <c r="H30" s="9">
        <v>44.35</v>
      </c>
      <c r="I30" s="9">
        <v>25.28</v>
      </c>
      <c r="J30" s="9">
        <v>29.37</v>
      </c>
      <c r="K30" s="9">
        <v>36.01</v>
      </c>
      <c r="L30" s="9"/>
      <c r="M30" s="9">
        <v>34.340000000000003</v>
      </c>
      <c r="N30" s="9"/>
      <c r="O30" s="9"/>
      <c r="P30" s="9"/>
      <c r="Q30" s="9"/>
      <c r="R30" s="9"/>
      <c r="S30" s="9"/>
      <c r="T30" s="12">
        <v>0</v>
      </c>
      <c r="U30" s="21">
        <v>0</v>
      </c>
      <c r="V30" s="18">
        <v>0</v>
      </c>
      <c r="W30" s="21">
        <v>0</v>
      </c>
      <c r="X30" s="15" t="s">
        <v>186</v>
      </c>
    </row>
    <row r="31" spans="1:24" ht="34.9">
      <c r="A31" s="4">
        <v>27</v>
      </c>
      <c r="B31" s="7" t="s">
        <v>164</v>
      </c>
      <c r="C31" s="4" t="s">
        <v>165</v>
      </c>
      <c r="D31" s="4" t="s">
        <v>49</v>
      </c>
      <c r="E31" s="10">
        <v>25.546500000000002</v>
      </c>
      <c r="F31" s="10">
        <v>50</v>
      </c>
      <c r="G31" s="10" t="s">
        <v>30</v>
      </c>
      <c r="H31" s="10">
        <v>25.55</v>
      </c>
      <c r="I31" s="10">
        <v>22.21</v>
      </c>
      <c r="J31" s="10">
        <v>23.04</v>
      </c>
      <c r="K31" s="10">
        <v>30.06</v>
      </c>
      <c r="L31" s="10">
        <v>23.04</v>
      </c>
      <c r="M31" s="10">
        <v>24.79</v>
      </c>
      <c r="N31" s="10">
        <v>21.2</v>
      </c>
      <c r="O31" s="10">
        <v>25.25</v>
      </c>
      <c r="P31" s="10">
        <v>27.46</v>
      </c>
      <c r="Q31" s="10">
        <v>1.2011000000000001</v>
      </c>
      <c r="R31" s="10">
        <v>2.4022000000000001</v>
      </c>
      <c r="S31" s="10">
        <v>2.4022000000000001</v>
      </c>
      <c r="T31" s="13">
        <v>0</v>
      </c>
      <c r="U31" s="22">
        <v>0</v>
      </c>
      <c r="V31" s="19">
        <v>0</v>
      </c>
      <c r="W31" s="22">
        <v>0</v>
      </c>
      <c r="X31" s="16" t="s">
        <v>184</v>
      </c>
    </row>
    <row r="33" spans="20:23" ht="13.9">
      <c r="T33" s="23">
        <f>SUM(T5:T31)</f>
        <v>7.7768000000000004E-2</v>
      </c>
      <c r="U33" s="24">
        <f>SUM(U5:U31)</f>
        <v>77768</v>
      </c>
      <c r="V33" s="24">
        <f>SUM(V5:V31)</f>
        <v>6400</v>
      </c>
      <c r="W33" s="24">
        <f>SUM(W5:W31)</f>
        <v>4535</v>
      </c>
    </row>
  </sheetData>
  <mergeCells count="2">
    <mergeCell ref="A1:X2"/>
    <mergeCell ref="A3:X3"/>
  </mergeCells>
  <phoneticPr fontId="9" type="noConversion"/>
  <conditionalFormatting sqref="S5:S31">
    <cfRule type="colorScale" priority="1">
      <colorScale>
        <cfvo type="min"/>
        <cfvo type="percentile" val="50"/>
        <cfvo type="max"/>
        <color rgb="FFF4CCCC"/>
        <color rgb="FFFFF2CC"/>
        <color rgb="FFC6E0B4"/>
      </colorScale>
    </cfRule>
  </conditionalFormatting>
  <conditionalFormatting sqref="X5:X31">
    <cfRule type="containsText" dxfId="4" priority="2" operator="containsText" text="阻断"/>
    <cfRule type="containsText" dxfId="3" priority="3" operator="containsText" text="不足一手"/>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1"/>
  <sheetViews>
    <sheetView showGridLines="0" topLeftCell="A10" zoomScale="69" workbookViewId="0">
      <selection sqref="A1:S2"/>
    </sheetView>
  </sheetViews>
  <sheetFormatPr defaultRowHeight="13.5"/>
  <cols>
    <col min="1" max="1" width="11" customWidth="1"/>
    <col min="2" max="6" width="16" customWidth="1"/>
    <col min="7" max="7" width="11" customWidth="1"/>
    <col min="8" max="15" width="34" customWidth="1"/>
    <col min="16" max="16" width="11" customWidth="1"/>
    <col min="17" max="17" width="34" customWidth="1"/>
    <col min="18" max="19" width="11" customWidth="1"/>
  </cols>
  <sheetData>
    <row r="1" spans="1:19" ht="28.05" customHeight="1">
      <c r="A1" s="25" t="s">
        <v>187</v>
      </c>
      <c r="B1" s="26"/>
      <c r="C1" s="26"/>
      <c r="D1" s="26"/>
      <c r="E1" s="26"/>
      <c r="F1" s="26"/>
      <c r="G1" s="26"/>
      <c r="H1" s="26"/>
      <c r="I1" s="26"/>
      <c r="J1" s="26"/>
      <c r="K1" s="26"/>
      <c r="L1" s="26"/>
      <c r="M1" s="26"/>
      <c r="N1" s="26"/>
      <c r="O1" s="26"/>
      <c r="P1" s="26"/>
      <c r="Q1" s="26"/>
      <c r="R1" s="26"/>
      <c r="S1" s="26"/>
    </row>
    <row r="2" spans="1:19">
      <c r="A2" s="26"/>
      <c r="B2" s="26"/>
      <c r="C2" s="26"/>
      <c r="D2" s="26"/>
      <c r="E2" s="26"/>
      <c r="F2" s="26"/>
      <c r="G2" s="26"/>
      <c r="H2" s="26"/>
      <c r="I2" s="26"/>
      <c r="J2" s="26"/>
      <c r="K2" s="26"/>
      <c r="L2" s="26"/>
      <c r="M2" s="26"/>
      <c r="N2" s="26"/>
      <c r="O2" s="26"/>
      <c r="P2" s="26"/>
      <c r="Q2" s="26"/>
      <c r="R2" s="26"/>
      <c r="S2" s="26"/>
    </row>
    <row r="3" spans="1:19" ht="22.05" customHeight="1">
      <c r="A3" s="27" t="s">
        <v>188</v>
      </c>
      <c r="B3" s="26"/>
      <c r="C3" s="26"/>
      <c r="D3" s="26"/>
      <c r="E3" s="26"/>
      <c r="F3" s="26"/>
      <c r="G3" s="26"/>
      <c r="H3" s="26"/>
      <c r="I3" s="26"/>
      <c r="J3" s="26"/>
      <c r="K3" s="26"/>
      <c r="L3" s="26"/>
      <c r="M3" s="26"/>
      <c r="N3" s="26"/>
      <c r="O3" s="26"/>
      <c r="P3" s="26"/>
      <c r="Q3" s="26"/>
      <c r="R3" s="26"/>
      <c r="S3" s="26"/>
    </row>
    <row r="4" spans="1:19" ht="32" customHeight="1">
      <c r="A4" s="1" t="s">
        <v>7</v>
      </c>
      <c r="B4" s="1" t="s">
        <v>8</v>
      </c>
      <c r="C4" s="1" t="s">
        <v>9</v>
      </c>
      <c r="D4" s="1" t="s">
        <v>55</v>
      </c>
      <c r="E4" s="1" t="s">
        <v>61</v>
      </c>
      <c r="F4" s="1" t="s">
        <v>62</v>
      </c>
      <c r="G4" s="1" t="s">
        <v>189</v>
      </c>
      <c r="H4" s="1" t="s">
        <v>190</v>
      </c>
      <c r="I4" s="1" t="s">
        <v>191</v>
      </c>
      <c r="J4" s="1" t="s">
        <v>192</v>
      </c>
      <c r="K4" s="1" t="s">
        <v>193</v>
      </c>
      <c r="L4" s="1" t="s">
        <v>194</v>
      </c>
      <c r="M4" s="1" t="s">
        <v>195</v>
      </c>
      <c r="N4" s="1" t="s">
        <v>18</v>
      </c>
      <c r="O4" s="1" t="s">
        <v>196</v>
      </c>
      <c r="P4" s="1" t="s">
        <v>63</v>
      </c>
      <c r="Q4" s="1" t="s">
        <v>197</v>
      </c>
      <c r="R4" s="1" t="s">
        <v>198</v>
      </c>
      <c r="S4" s="1" t="s">
        <v>60</v>
      </c>
    </row>
    <row r="5" spans="1:19" ht="58.15">
      <c r="A5" s="2">
        <v>1</v>
      </c>
      <c r="B5" s="5" t="s">
        <v>19</v>
      </c>
      <c r="C5" s="2" t="s">
        <v>20</v>
      </c>
      <c r="D5" s="2" t="s">
        <v>21</v>
      </c>
      <c r="E5" s="2" t="s">
        <v>69</v>
      </c>
      <c r="F5" s="2" t="s">
        <v>70</v>
      </c>
      <c r="G5" s="2" t="s">
        <v>199</v>
      </c>
      <c r="H5" s="14" t="s">
        <v>200</v>
      </c>
      <c r="I5" s="14" t="s">
        <v>201</v>
      </c>
      <c r="J5" s="14" t="s">
        <v>202</v>
      </c>
      <c r="K5" s="14" t="s">
        <v>203</v>
      </c>
      <c r="L5" s="14" t="s">
        <v>204</v>
      </c>
      <c r="M5" s="14" t="s">
        <v>205</v>
      </c>
      <c r="N5" s="14" t="s">
        <v>23</v>
      </c>
      <c r="O5" s="14" t="s">
        <v>206</v>
      </c>
      <c r="P5" s="14" t="s">
        <v>71</v>
      </c>
      <c r="Q5" s="14" t="s">
        <v>207</v>
      </c>
      <c r="R5" s="2" t="s">
        <v>208</v>
      </c>
      <c r="S5" s="2" t="s">
        <v>68</v>
      </c>
    </row>
    <row r="6" spans="1:19" ht="46.5">
      <c r="A6" s="3">
        <v>2</v>
      </c>
      <c r="B6" s="6" t="s">
        <v>24</v>
      </c>
      <c r="C6" s="3" t="s">
        <v>25</v>
      </c>
      <c r="D6" s="3" t="s">
        <v>21</v>
      </c>
      <c r="E6" s="3" t="s">
        <v>69</v>
      </c>
      <c r="F6" s="3" t="s">
        <v>74</v>
      </c>
      <c r="G6" s="3" t="s">
        <v>199</v>
      </c>
      <c r="H6" s="15" t="s">
        <v>209</v>
      </c>
      <c r="I6" s="15" t="s">
        <v>210</v>
      </c>
      <c r="J6" s="15" t="s">
        <v>211</v>
      </c>
      <c r="K6" s="15" t="s">
        <v>212</v>
      </c>
      <c r="L6" s="15" t="s">
        <v>213</v>
      </c>
      <c r="M6" s="15" t="s">
        <v>214</v>
      </c>
      <c r="N6" s="15" t="s">
        <v>27</v>
      </c>
      <c r="O6" s="15" t="s">
        <v>215</v>
      </c>
      <c r="P6" s="15" t="s">
        <v>71</v>
      </c>
      <c r="Q6" s="15" t="s">
        <v>216</v>
      </c>
      <c r="R6" s="3" t="s">
        <v>208</v>
      </c>
      <c r="S6" s="3" t="s">
        <v>68</v>
      </c>
    </row>
    <row r="7" spans="1:19" ht="46.5">
      <c r="A7" s="3">
        <v>3</v>
      </c>
      <c r="B7" s="6" t="s">
        <v>28</v>
      </c>
      <c r="C7" s="3" t="s">
        <v>29</v>
      </c>
      <c r="D7" s="3" t="s">
        <v>21</v>
      </c>
      <c r="E7" s="3" t="s">
        <v>76</v>
      </c>
      <c r="F7" s="3" t="s">
        <v>77</v>
      </c>
      <c r="G7" s="3" t="s">
        <v>199</v>
      </c>
      <c r="H7" s="15" t="s">
        <v>217</v>
      </c>
      <c r="I7" s="15" t="s">
        <v>218</v>
      </c>
      <c r="J7" s="15" t="s">
        <v>219</v>
      </c>
      <c r="K7" s="15" t="s">
        <v>220</v>
      </c>
      <c r="L7" s="15" t="s">
        <v>221</v>
      </c>
      <c r="M7" s="15" t="s">
        <v>222</v>
      </c>
      <c r="N7" s="15" t="s">
        <v>31</v>
      </c>
      <c r="O7" s="15" t="s">
        <v>215</v>
      </c>
      <c r="P7" s="15" t="s">
        <v>78</v>
      </c>
      <c r="Q7" s="15" t="s">
        <v>223</v>
      </c>
      <c r="R7" s="3" t="s">
        <v>208</v>
      </c>
      <c r="S7" s="3" t="s">
        <v>68</v>
      </c>
    </row>
    <row r="8" spans="1:19" ht="34.9">
      <c r="A8" s="3">
        <v>4</v>
      </c>
      <c r="B8" s="6" t="s">
        <v>32</v>
      </c>
      <c r="C8" s="3" t="s">
        <v>33</v>
      </c>
      <c r="D8" s="3" t="s">
        <v>21</v>
      </c>
      <c r="E8" s="3" t="s">
        <v>79</v>
      </c>
      <c r="F8" s="3" t="s">
        <v>80</v>
      </c>
      <c r="G8" s="3" t="s">
        <v>199</v>
      </c>
      <c r="H8" s="15" t="s">
        <v>224</v>
      </c>
      <c r="I8" s="15" t="s">
        <v>225</v>
      </c>
      <c r="J8" s="15" t="s">
        <v>226</v>
      </c>
      <c r="K8" s="15" t="s">
        <v>227</v>
      </c>
      <c r="L8" s="15" t="s">
        <v>228</v>
      </c>
      <c r="M8" s="15" t="s">
        <v>229</v>
      </c>
      <c r="N8" s="15" t="s">
        <v>34</v>
      </c>
      <c r="O8" s="15" t="s">
        <v>215</v>
      </c>
      <c r="P8" s="15" t="s">
        <v>71</v>
      </c>
      <c r="Q8" s="15" t="s">
        <v>230</v>
      </c>
      <c r="R8" s="3" t="s">
        <v>208</v>
      </c>
      <c r="S8" s="3" t="s">
        <v>68</v>
      </c>
    </row>
    <row r="9" spans="1:19" ht="34.9">
      <c r="A9" s="3">
        <v>5</v>
      </c>
      <c r="B9" s="6" t="s">
        <v>35</v>
      </c>
      <c r="C9" s="3" t="s">
        <v>36</v>
      </c>
      <c r="D9" s="3" t="s">
        <v>21</v>
      </c>
      <c r="E9" s="3" t="s">
        <v>82</v>
      </c>
      <c r="F9" s="3" t="s">
        <v>83</v>
      </c>
      <c r="G9" s="3" t="s">
        <v>199</v>
      </c>
      <c r="H9" s="15" t="s">
        <v>231</v>
      </c>
      <c r="I9" s="15" t="s">
        <v>232</v>
      </c>
      <c r="J9" s="15" t="s">
        <v>233</v>
      </c>
      <c r="K9" s="15" t="s">
        <v>234</v>
      </c>
      <c r="L9" s="15" t="s">
        <v>221</v>
      </c>
      <c r="M9" s="15" t="s">
        <v>235</v>
      </c>
      <c r="N9" s="15" t="s">
        <v>37</v>
      </c>
      <c r="O9" s="15" t="s">
        <v>215</v>
      </c>
      <c r="P9" s="15" t="s">
        <v>71</v>
      </c>
      <c r="Q9" s="15" t="s">
        <v>236</v>
      </c>
      <c r="R9" s="3" t="s">
        <v>208</v>
      </c>
      <c r="S9" s="3" t="s">
        <v>81</v>
      </c>
    </row>
    <row r="10" spans="1:19" ht="46.5">
      <c r="A10" s="3">
        <v>6</v>
      </c>
      <c r="B10" s="6" t="s">
        <v>38</v>
      </c>
      <c r="C10" s="3" t="s">
        <v>39</v>
      </c>
      <c r="D10" s="3" t="s">
        <v>21</v>
      </c>
      <c r="E10" s="3" t="s">
        <v>69</v>
      </c>
      <c r="F10" s="3" t="s">
        <v>84</v>
      </c>
      <c r="G10" s="3" t="s">
        <v>199</v>
      </c>
      <c r="H10" s="15" t="s">
        <v>237</v>
      </c>
      <c r="I10" s="15" t="s">
        <v>238</v>
      </c>
      <c r="J10" s="15" t="s">
        <v>239</v>
      </c>
      <c r="K10" s="15" t="s">
        <v>240</v>
      </c>
      <c r="L10" s="15" t="s">
        <v>241</v>
      </c>
      <c r="M10" s="15" t="s">
        <v>242</v>
      </c>
      <c r="N10" s="15" t="s">
        <v>40</v>
      </c>
      <c r="O10" s="15" t="s">
        <v>215</v>
      </c>
      <c r="P10" s="15" t="s">
        <v>71</v>
      </c>
      <c r="Q10" s="15" t="s">
        <v>243</v>
      </c>
      <c r="R10" s="3" t="s">
        <v>208</v>
      </c>
      <c r="S10" s="3" t="s">
        <v>68</v>
      </c>
    </row>
    <row r="11" spans="1:19" ht="23.25">
      <c r="A11" s="3">
        <v>7</v>
      </c>
      <c r="B11" s="6" t="s">
        <v>41</v>
      </c>
      <c r="C11" s="3" t="s">
        <v>42</v>
      </c>
      <c r="D11" s="3" t="s">
        <v>21</v>
      </c>
      <c r="E11" s="3" t="s">
        <v>79</v>
      </c>
      <c r="F11" s="3" t="s">
        <v>85</v>
      </c>
      <c r="G11" s="3" t="s">
        <v>199</v>
      </c>
      <c r="H11" s="15" t="s">
        <v>244</v>
      </c>
      <c r="I11" s="15" t="s">
        <v>245</v>
      </c>
      <c r="J11" s="15" t="s">
        <v>246</v>
      </c>
      <c r="K11" s="15" t="s">
        <v>247</v>
      </c>
      <c r="L11" s="15" t="s">
        <v>248</v>
      </c>
      <c r="M11" s="15" t="s">
        <v>249</v>
      </c>
      <c r="N11" s="15" t="s">
        <v>43</v>
      </c>
      <c r="O11" s="15" t="s">
        <v>215</v>
      </c>
      <c r="P11" s="15" t="s">
        <v>71</v>
      </c>
      <c r="Q11" s="15" t="s">
        <v>250</v>
      </c>
      <c r="R11" s="3" t="s">
        <v>208</v>
      </c>
      <c r="S11" s="3" t="s">
        <v>68</v>
      </c>
    </row>
    <row r="12" spans="1:19" ht="46.5">
      <c r="A12" s="3">
        <v>8</v>
      </c>
      <c r="B12" s="6" t="s">
        <v>44</v>
      </c>
      <c r="C12" s="3" t="s">
        <v>45</v>
      </c>
      <c r="D12" s="3" t="s">
        <v>21</v>
      </c>
      <c r="E12" s="3" t="s">
        <v>86</v>
      </c>
      <c r="F12" s="3" t="s">
        <v>87</v>
      </c>
      <c r="G12" s="3" t="s">
        <v>199</v>
      </c>
      <c r="H12" s="15" t="s">
        <v>251</v>
      </c>
      <c r="I12" s="15" t="s">
        <v>252</v>
      </c>
      <c r="J12" s="15" t="s">
        <v>253</v>
      </c>
      <c r="K12" s="15" t="s">
        <v>254</v>
      </c>
      <c r="L12" s="15" t="s">
        <v>255</v>
      </c>
      <c r="M12" s="15" t="s">
        <v>256</v>
      </c>
      <c r="N12" s="15" t="s">
        <v>46</v>
      </c>
      <c r="O12" s="15" t="s">
        <v>215</v>
      </c>
      <c r="P12" s="15" t="s">
        <v>71</v>
      </c>
      <c r="Q12" s="15" t="s">
        <v>257</v>
      </c>
      <c r="R12" s="3" t="s">
        <v>208</v>
      </c>
      <c r="S12" s="3" t="s">
        <v>68</v>
      </c>
    </row>
    <row r="13" spans="1:19" ht="58.15">
      <c r="A13" s="3">
        <v>9</v>
      </c>
      <c r="B13" s="6" t="s">
        <v>47</v>
      </c>
      <c r="C13" s="3" t="s">
        <v>48</v>
      </c>
      <c r="D13" s="3" t="s">
        <v>49</v>
      </c>
      <c r="E13" s="3" t="s">
        <v>82</v>
      </c>
      <c r="F13" s="3" t="s">
        <v>88</v>
      </c>
      <c r="G13" s="3" t="s">
        <v>199</v>
      </c>
      <c r="H13" s="15" t="s">
        <v>258</v>
      </c>
      <c r="I13" s="15" t="s">
        <v>259</v>
      </c>
      <c r="J13" s="15" t="s">
        <v>260</v>
      </c>
      <c r="K13" s="15" t="s">
        <v>261</v>
      </c>
      <c r="L13" s="15" t="s">
        <v>262</v>
      </c>
      <c r="M13" s="15" t="s">
        <v>263</v>
      </c>
      <c r="N13" s="15" t="s">
        <v>50</v>
      </c>
      <c r="O13" s="15" t="s">
        <v>215</v>
      </c>
      <c r="P13" s="15" t="s">
        <v>71</v>
      </c>
      <c r="Q13" s="15" t="s">
        <v>264</v>
      </c>
      <c r="R13" s="3" t="s">
        <v>208</v>
      </c>
      <c r="S13" s="3" t="s">
        <v>68</v>
      </c>
    </row>
    <row r="14" spans="1:19" ht="46.5">
      <c r="A14" s="3">
        <v>10</v>
      </c>
      <c r="B14" s="6" t="s">
        <v>51</v>
      </c>
      <c r="C14" s="3" t="s">
        <v>52</v>
      </c>
      <c r="D14" s="3" t="s">
        <v>21</v>
      </c>
      <c r="E14" s="3" t="s">
        <v>89</v>
      </c>
      <c r="F14" s="3" t="s">
        <v>90</v>
      </c>
      <c r="G14" s="3" t="s">
        <v>199</v>
      </c>
      <c r="H14" s="15" t="s">
        <v>265</v>
      </c>
      <c r="I14" s="15" t="s">
        <v>266</v>
      </c>
      <c r="J14" s="15" t="s">
        <v>267</v>
      </c>
      <c r="K14" s="15" t="s">
        <v>268</v>
      </c>
      <c r="L14" s="15" t="s">
        <v>269</v>
      </c>
      <c r="M14" s="15" t="s">
        <v>270</v>
      </c>
      <c r="N14" s="15" t="s">
        <v>53</v>
      </c>
      <c r="O14" s="15" t="s">
        <v>215</v>
      </c>
      <c r="P14" s="15" t="s">
        <v>71</v>
      </c>
      <c r="Q14" s="15" t="s">
        <v>271</v>
      </c>
      <c r="R14" s="3" t="s">
        <v>208</v>
      </c>
      <c r="S14" s="3" t="s">
        <v>68</v>
      </c>
    </row>
    <row r="15" spans="1:19" ht="34.9">
      <c r="A15" s="3">
        <v>11</v>
      </c>
      <c r="B15" s="6" t="s">
        <v>91</v>
      </c>
      <c r="C15" s="3" t="s">
        <v>92</v>
      </c>
      <c r="D15" s="3" t="s">
        <v>21</v>
      </c>
      <c r="E15" s="3" t="s">
        <v>69</v>
      </c>
      <c r="F15" s="3" t="s">
        <v>93</v>
      </c>
      <c r="G15" s="3" t="s">
        <v>199</v>
      </c>
      <c r="H15" s="15" t="s">
        <v>272</v>
      </c>
      <c r="I15" s="15" t="s">
        <v>273</v>
      </c>
      <c r="J15" s="15" t="s">
        <v>274</v>
      </c>
      <c r="K15" s="15" t="s">
        <v>275</v>
      </c>
      <c r="L15" s="15" t="s">
        <v>276</v>
      </c>
      <c r="M15" s="15" t="s">
        <v>277</v>
      </c>
      <c r="N15" s="15" t="s">
        <v>94</v>
      </c>
      <c r="O15" s="15" t="s">
        <v>215</v>
      </c>
      <c r="P15" s="15" t="s">
        <v>71</v>
      </c>
      <c r="Q15" s="15" t="s">
        <v>278</v>
      </c>
      <c r="R15" s="3" t="s">
        <v>208</v>
      </c>
      <c r="S15" s="3" t="s">
        <v>68</v>
      </c>
    </row>
    <row r="16" spans="1:19" ht="58.15">
      <c r="A16" s="3">
        <v>12</v>
      </c>
      <c r="B16" s="6" t="s">
        <v>95</v>
      </c>
      <c r="C16" s="3" t="s">
        <v>96</v>
      </c>
      <c r="D16" s="3" t="s">
        <v>21</v>
      </c>
      <c r="E16" s="3" t="s">
        <v>97</v>
      </c>
      <c r="F16" s="3" t="s">
        <v>98</v>
      </c>
      <c r="G16" s="3" t="s">
        <v>199</v>
      </c>
      <c r="H16" s="15" t="s">
        <v>279</v>
      </c>
      <c r="I16" s="15" t="s">
        <v>280</v>
      </c>
      <c r="J16" s="15" t="s">
        <v>281</v>
      </c>
      <c r="K16" s="15" t="s">
        <v>282</v>
      </c>
      <c r="L16" s="15" t="s">
        <v>283</v>
      </c>
      <c r="M16" s="15" t="s">
        <v>284</v>
      </c>
      <c r="N16" s="15" t="s">
        <v>99</v>
      </c>
      <c r="O16" s="15" t="s">
        <v>215</v>
      </c>
      <c r="P16" s="15" t="s">
        <v>71</v>
      </c>
      <c r="Q16" s="15" t="s">
        <v>285</v>
      </c>
      <c r="R16" s="3" t="s">
        <v>208</v>
      </c>
      <c r="S16" s="3" t="s">
        <v>81</v>
      </c>
    </row>
    <row r="17" spans="1:19" ht="34.9">
      <c r="A17" s="3">
        <v>13</v>
      </c>
      <c r="B17" s="6" t="s">
        <v>100</v>
      </c>
      <c r="C17" s="3" t="s">
        <v>101</v>
      </c>
      <c r="D17" s="3" t="s">
        <v>21</v>
      </c>
      <c r="E17" s="3" t="s">
        <v>76</v>
      </c>
      <c r="F17" s="3" t="s">
        <v>102</v>
      </c>
      <c r="G17" s="3" t="s">
        <v>199</v>
      </c>
      <c r="H17" s="15" t="s">
        <v>286</v>
      </c>
      <c r="I17" s="15" t="s">
        <v>287</v>
      </c>
      <c r="J17" s="15" t="s">
        <v>288</v>
      </c>
      <c r="K17" s="15" t="s">
        <v>289</v>
      </c>
      <c r="L17" s="15" t="s">
        <v>290</v>
      </c>
      <c r="M17" s="15" t="s">
        <v>291</v>
      </c>
      <c r="N17" s="15" t="s">
        <v>103</v>
      </c>
      <c r="O17" s="15" t="s">
        <v>215</v>
      </c>
      <c r="P17" s="15" t="s">
        <v>71</v>
      </c>
      <c r="Q17" s="15" t="s">
        <v>292</v>
      </c>
      <c r="R17" s="3" t="s">
        <v>208</v>
      </c>
      <c r="S17" s="3" t="s">
        <v>68</v>
      </c>
    </row>
    <row r="18" spans="1:19" ht="34.9">
      <c r="A18" s="3">
        <v>14</v>
      </c>
      <c r="B18" s="6" t="s">
        <v>104</v>
      </c>
      <c r="C18" s="3" t="s">
        <v>105</v>
      </c>
      <c r="D18" s="3" t="s">
        <v>21</v>
      </c>
      <c r="E18" s="3" t="s">
        <v>106</v>
      </c>
      <c r="F18" s="3" t="s">
        <v>107</v>
      </c>
      <c r="G18" s="3" t="s">
        <v>199</v>
      </c>
      <c r="H18" s="15" t="s">
        <v>293</v>
      </c>
      <c r="I18" s="15" t="s">
        <v>294</v>
      </c>
      <c r="J18" s="15" t="s">
        <v>295</v>
      </c>
      <c r="K18" s="15" t="s">
        <v>296</v>
      </c>
      <c r="L18" s="15" t="s">
        <v>221</v>
      </c>
      <c r="M18" s="15" t="s">
        <v>297</v>
      </c>
      <c r="N18" s="15" t="s">
        <v>108</v>
      </c>
      <c r="O18" s="15" t="s">
        <v>215</v>
      </c>
      <c r="P18" s="15" t="s">
        <v>71</v>
      </c>
      <c r="Q18" s="15" t="s">
        <v>298</v>
      </c>
      <c r="R18" s="3" t="s">
        <v>208</v>
      </c>
      <c r="S18" s="3" t="s">
        <v>68</v>
      </c>
    </row>
    <row r="19" spans="1:19" ht="23.25">
      <c r="A19" s="3">
        <v>15</v>
      </c>
      <c r="B19" s="6" t="s">
        <v>109</v>
      </c>
      <c r="C19" s="3" t="s">
        <v>110</v>
      </c>
      <c r="D19" s="3" t="s">
        <v>21</v>
      </c>
      <c r="E19" s="3" t="s">
        <v>82</v>
      </c>
      <c r="F19" s="3" t="s">
        <v>111</v>
      </c>
      <c r="G19" s="3" t="s">
        <v>199</v>
      </c>
      <c r="H19" s="15" t="s">
        <v>299</v>
      </c>
      <c r="I19" s="15" t="s">
        <v>300</v>
      </c>
      <c r="J19" s="15" t="s">
        <v>301</v>
      </c>
      <c r="K19" s="15" t="s">
        <v>302</v>
      </c>
      <c r="L19" s="15" t="s">
        <v>303</v>
      </c>
      <c r="M19" s="15" t="s">
        <v>304</v>
      </c>
      <c r="N19" s="15" t="s">
        <v>112</v>
      </c>
      <c r="O19" s="15" t="s">
        <v>215</v>
      </c>
      <c r="P19" s="15" t="s">
        <v>71</v>
      </c>
      <c r="Q19" s="15" t="s">
        <v>305</v>
      </c>
      <c r="R19" s="3" t="s">
        <v>208</v>
      </c>
      <c r="S19" s="3" t="s">
        <v>68</v>
      </c>
    </row>
    <row r="20" spans="1:19" ht="46.5">
      <c r="A20" s="3">
        <v>16</v>
      </c>
      <c r="B20" s="6" t="s">
        <v>113</v>
      </c>
      <c r="C20" s="3" t="s">
        <v>114</v>
      </c>
      <c r="D20" s="3" t="s">
        <v>21</v>
      </c>
      <c r="E20" s="3" t="s">
        <v>69</v>
      </c>
      <c r="F20" s="3" t="s">
        <v>115</v>
      </c>
      <c r="G20" s="3" t="s">
        <v>199</v>
      </c>
      <c r="H20" s="15" t="s">
        <v>306</v>
      </c>
      <c r="I20" s="15" t="s">
        <v>307</v>
      </c>
      <c r="J20" s="15" t="s">
        <v>308</v>
      </c>
      <c r="K20" s="15" t="s">
        <v>309</v>
      </c>
      <c r="L20" s="15" t="s">
        <v>221</v>
      </c>
      <c r="M20" s="15" t="s">
        <v>310</v>
      </c>
      <c r="N20" s="15" t="s">
        <v>116</v>
      </c>
      <c r="O20" s="15" t="s">
        <v>215</v>
      </c>
      <c r="P20" s="15" t="s">
        <v>71</v>
      </c>
      <c r="Q20" s="15" t="s">
        <v>271</v>
      </c>
      <c r="R20" s="3" t="s">
        <v>208</v>
      </c>
      <c r="S20" s="3" t="s">
        <v>68</v>
      </c>
    </row>
    <row r="21" spans="1:19" ht="34.9">
      <c r="A21" s="3">
        <v>17</v>
      </c>
      <c r="B21" s="6" t="s">
        <v>117</v>
      </c>
      <c r="C21" s="3" t="s">
        <v>118</v>
      </c>
      <c r="D21" s="3" t="s">
        <v>21</v>
      </c>
      <c r="E21" s="3" t="s">
        <v>76</v>
      </c>
      <c r="F21" s="3" t="s">
        <v>119</v>
      </c>
      <c r="G21" s="3" t="s">
        <v>199</v>
      </c>
      <c r="H21" s="15" t="s">
        <v>311</v>
      </c>
      <c r="I21" s="15" t="s">
        <v>312</v>
      </c>
      <c r="J21" s="15" t="s">
        <v>313</v>
      </c>
      <c r="K21" s="15" t="s">
        <v>314</v>
      </c>
      <c r="L21" s="15" t="s">
        <v>315</v>
      </c>
      <c r="M21" s="15" t="s">
        <v>316</v>
      </c>
      <c r="N21" s="15" t="s">
        <v>120</v>
      </c>
      <c r="O21" s="15" t="s">
        <v>215</v>
      </c>
      <c r="P21" s="15" t="s">
        <v>71</v>
      </c>
      <c r="Q21" s="15" t="s">
        <v>317</v>
      </c>
      <c r="R21" s="3" t="s">
        <v>208</v>
      </c>
      <c r="S21" s="3" t="s">
        <v>68</v>
      </c>
    </row>
    <row r="22" spans="1:19" ht="34.9">
      <c r="A22" s="3">
        <v>18</v>
      </c>
      <c r="B22" s="6" t="s">
        <v>121</v>
      </c>
      <c r="C22" s="3" t="s">
        <v>122</v>
      </c>
      <c r="D22" s="3" t="s">
        <v>21</v>
      </c>
      <c r="E22" s="3" t="s">
        <v>123</v>
      </c>
      <c r="F22" s="3" t="s">
        <v>124</v>
      </c>
      <c r="G22" s="3" t="s">
        <v>199</v>
      </c>
      <c r="H22" s="15" t="s">
        <v>318</v>
      </c>
      <c r="I22" s="15" t="s">
        <v>319</v>
      </c>
      <c r="J22" s="15" t="s">
        <v>320</v>
      </c>
      <c r="K22" s="15" t="s">
        <v>321</v>
      </c>
      <c r="L22" s="15" t="s">
        <v>322</v>
      </c>
      <c r="M22" s="15" t="s">
        <v>323</v>
      </c>
      <c r="N22" s="15" t="s">
        <v>125</v>
      </c>
      <c r="O22" s="15" t="s">
        <v>215</v>
      </c>
      <c r="P22" s="15" t="s">
        <v>78</v>
      </c>
      <c r="Q22" s="15" t="s">
        <v>324</v>
      </c>
      <c r="R22" s="3" t="s">
        <v>208</v>
      </c>
      <c r="S22" s="3" t="s">
        <v>81</v>
      </c>
    </row>
    <row r="23" spans="1:19" ht="46.5">
      <c r="A23" s="3">
        <v>19</v>
      </c>
      <c r="B23" s="6" t="s">
        <v>127</v>
      </c>
      <c r="C23" s="3" t="s">
        <v>128</v>
      </c>
      <c r="D23" s="3" t="s">
        <v>21</v>
      </c>
      <c r="E23" s="3" t="s">
        <v>97</v>
      </c>
      <c r="F23" s="3" t="s">
        <v>129</v>
      </c>
      <c r="G23" s="3" t="s">
        <v>199</v>
      </c>
      <c r="H23" s="15" t="s">
        <v>325</v>
      </c>
      <c r="I23" s="15" t="s">
        <v>326</v>
      </c>
      <c r="J23" s="15" t="s">
        <v>327</v>
      </c>
      <c r="K23" s="15" t="s">
        <v>328</v>
      </c>
      <c r="L23" s="15" t="s">
        <v>329</v>
      </c>
      <c r="M23" s="15" t="s">
        <v>330</v>
      </c>
      <c r="N23" s="15" t="s">
        <v>130</v>
      </c>
      <c r="O23" s="15" t="s">
        <v>215</v>
      </c>
      <c r="P23" s="15" t="s">
        <v>71</v>
      </c>
      <c r="Q23" s="15" t="s">
        <v>331</v>
      </c>
      <c r="R23" s="3" t="s">
        <v>208</v>
      </c>
      <c r="S23" s="3" t="s">
        <v>81</v>
      </c>
    </row>
    <row r="24" spans="1:19" ht="34.9">
      <c r="A24" s="3">
        <v>20</v>
      </c>
      <c r="B24" s="6" t="s">
        <v>131</v>
      </c>
      <c r="C24" s="3" t="s">
        <v>132</v>
      </c>
      <c r="D24" s="3" t="s">
        <v>21</v>
      </c>
      <c r="E24" s="3" t="s">
        <v>69</v>
      </c>
      <c r="F24" s="3" t="s">
        <v>74</v>
      </c>
      <c r="G24" s="3" t="s">
        <v>199</v>
      </c>
      <c r="H24" s="15" t="s">
        <v>332</v>
      </c>
      <c r="I24" s="15" t="s">
        <v>333</v>
      </c>
      <c r="J24" s="15" t="s">
        <v>334</v>
      </c>
      <c r="K24" s="15" t="s">
        <v>335</v>
      </c>
      <c r="L24" s="15" t="s">
        <v>221</v>
      </c>
      <c r="M24" s="15" t="s">
        <v>336</v>
      </c>
      <c r="N24" s="15" t="s">
        <v>133</v>
      </c>
      <c r="O24" s="15" t="s">
        <v>215</v>
      </c>
      <c r="P24" s="15" t="s">
        <v>71</v>
      </c>
      <c r="Q24" s="15" t="s">
        <v>337</v>
      </c>
      <c r="R24" s="3" t="s">
        <v>208</v>
      </c>
      <c r="S24" s="3" t="s">
        <v>81</v>
      </c>
    </row>
    <row r="25" spans="1:19" ht="46.5">
      <c r="A25" s="3">
        <v>21</v>
      </c>
      <c r="B25" s="6" t="s">
        <v>134</v>
      </c>
      <c r="C25" s="3" t="s">
        <v>135</v>
      </c>
      <c r="D25" s="3" t="s">
        <v>49</v>
      </c>
      <c r="E25" s="3" t="s">
        <v>136</v>
      </c>
      <c r="F25" s="3" t="s">
        <v>137</v>
      </c>
      <c r="G25" s="3" t="s">
        <v>199</v>
      </c>
      <c r="H25" s="15" t="s">
        <v>338</v>
      </c>
      <c r="I25" s="15" t="s">
        <v>339</v>
      </c>
      <c r="J25" s="15" t="s">
        <v>340</v>
      </c>
      <c r="K25" s="15" t="s">
        <v>341</v>
      </c>
      <c r="L25" s="15" t="s">
        <v>342</v>
      </c>
      <c r="M25" s="15" t="s">
        <v>343</v>
      </c>
      <c r="N25" s="15" t="s">
        <v>138</v>
      </c>
      <c r="O25" s="15" t="s">
        <v>215</v>
      </c>
      <c r="P25" s="15" t="s">
        <v>71</v>
      </c>
      <c r="Q25" s="15" t="s">
        <v>344</v>
      </c>
      <c r="R25" s="3" t="s">
        <v>208</v>
      </c>
      <c r="S25" s="3" t="s">
        <v>81</v>
      </c>
    </row>
    <row r="26" spans="1:19" ht="34.9">
      <c r="A26" s="3">
        <v>22</v>
      </c>
      <c r="B26" s="6" t="s">
        <v>139</v>
      </c>
      <c r="C26" s="3" t="s">
        <v>140</v>
      </c>
      <c r="D26" s="3" t="s">
        <v>49</v>
      </c>
      <c r="E26" s="3" t="s">
        <v>141</v>
      </c>
      <c r="F26" s="3" t="s">
        <v>142</v>
      </c>
      <c r="G26" s="3" t="s">
        <v>199</v>
      </c>
      <c r="H26" s="15" t="s">
        <v>345</v>
      </c>
      <c r="I26" s="15" t="s">
        <v>346</v>
      </c>
      <c r="J26" s="15" t="s">
        <v>347</v>
      </c>
      <c r="K26" s="15" t="s">
        <v>348</v>
      </c>
      <c r="L26" s="15" t="s">
        <v>349</v>
      </c>
      <c r="M26" s="15" t="s">
        <v>350</v>
      </c>
      <c r="N26" s="15" t="s">
        <v>143</v>
      </c>
      <c r="O26" s="15" t="s">
        <v>215</v>
      </c>
      <c r="P26" s="15" t="s">
        <v>71</v>
      </c>
      <c r="Q26" s="15" t="s">
        <v>351</v>
      </c>
      <c r="R26" s="3" t="s">
        <v>208</v>
      </c>
      <c r="S26" s="3" t="s">
        <v>81</v>
      </c>
    </row>
    <row r="27" spans="1:19" ht="34.9">
      <c r="A27" s="3">
        <v>23</v>
      </c>
      <c r="B27" s="6" t="s">
        <v>144</v>
      </c>
      <c r="C27" s="3" t="s">
        <v>145</v>
      </c>
      <c r="D27" s="3" t="s">
        <v>49</v>
      </c>
      <c r="E27" s="3" t="s">
        <v>69</v>
      </c>
      <c r="F27" s="3" t="s">
        <v>147</v>
      </c>
      <c r="G27" s="3" t="s">
        <v>199</v>
      </c>
      <c r="H27" s="15" t="s">
        <v>352</v>
      </c>
      <c r="I27" s="15" t="s">
        <v>353</v>
      </c>
      <c r="J27" s="15" t="s">
        <v>354</v>
      </c>
      <c r="K27" s="15" t="s">
        <v>355</v>
      </c>
      <c r="L27" s="15" t="s">
        <v>221</v>
      </c>
      <c r="M27" s="15" t="s">
        <v>356</v>
      </c>
      <c r="N27" s="15" t="s">
        <v>148</v>
      </c>
      <c r="O27" s="15" t="s">
        <v>215</v>
      </c>
      <c r="P27" s="15" t="s">
        <v>71</v>
      </c>
      <c r="Q27" s="15" t="s">
        <v>236</v>
      </c>
      <c r="R27" s="3" t="s">
        <v>208</v>
      </c>
      <c r="S27" s="3" t="s">
        <v>146</v>
      </c>
    </row>
    <row r="28" spans="1:19" ht="34.9">
      <c r="A28" s="3">
        <v>24</v>
      </c>
      <c r="B28" s="6" t="s">
        <v>149</v>
      </c>
      <c r="C28" s="3" t="s">
        <v>150</v>
      </c>
      <c r="D28" s="3" t="s">
        <v>21</v>
      </c>
      <c r="E28" s="3" t="s">
        <v>151</v>
      </c>
      <c r="F28" s="3" t="s">
        <v>152</v>
      </c>
      <c r="G28" s="3" t="s">
        <v>199</v>
      </c>
      <c r="H28" s="15" t="s">
        <v>357</v>
      </c>
      <c r="I28" s="15" t="s">
        <v>358</v>
      </c>
      <c r="J28" s="15" t="s">
        <v>359</v>
      </c>
      <c r="K28" s="15" t="s">
        <v>360</v>
      </c>
      <c r="L28" s="15" t="s">
        <v>221</v>
      </c>
      <c r="M28" s="15" t="s">
        <v>361</v>
      </c>
      <c r="N28" s="15" t="s">
        <v>153</v>
      </c>
      <c r="O28" s="15" t="s">
        <v>215</v>
      </c>
      <c r="P28" s="15" t="s">
        <v>78</v>
      </c>
      <c r="Q28" s="15" t="s">
        <v>362</v>
      </c>
      <c r="R28" s="3" t="s">
        <v>208</v>
      </c>
      <c r="S28" s="3" t="s">
        <v>81</v>
      </c>
    </row>
    <row r="29" spans="1:19" ht="23.25">
      <c r="A29" s="3">
        <v>25</v>
      </c>
      <c r="B29" s="6" t="s">
        <v>154</v>
      </c>
      <c r="C29" s="3" t="s">
        <v>155</v>
      </c>
      <c r="D29" s="3" t="s">
        <v>49</v>
      </c>
      <c r="E29" s="3" t="s">
        <v>136</v>
      </c>
      <c r="F29" s="3" t="s">
        <v>156</v>
      </c>
      <c r="G29" s="3" t="s">
        <v>199</v>
      </c>
      <c r="H29" s="15" t="s">
        <v>363</v>
      </c>
      <c r="I29" s="15" t="s">
        <v>364</v>
      </c>
      <c r="J29" s="15" t="s">
        <v>365</v>
      </c>
      <c r="K29" s="15" t="s">
        <v>366</v>
      </c>
      <c r="L29" s="15" t="s">
        <v>367</v>
      </c>
      <c r="M29" s="15" t="s">
        <v>368</v>
      </c>
      <c r="N29" s="15" t="s">
        <v>157</v>
      </c>
      <c r="O29" s="15" t="s">
        <v>215</v>
      </c>
      <c r="P29" s="15" t="s">
        <v>71</v>
      </c>
      <c r="Q29" s="15" t="s">
        <v>369</v>
      </c>
      <c r="R29" s="3" t="s">
        <v>208</v>
      </c>
      <c r="S29" s="3" t="s">
        <v>81</v>
      </c>
    </row>
    <row r="30" spans="1:19" ht="46.5">
      <c r="A30" s="3">
        <v>26</v>
      </c>
      <c r="B30" s="6" t="s">
        <v>158</v>
      </c>
      <c r="C30" s="3" t="s">
        <v>159</v>
      </c>
      <c r="D30" s="3" t="s">
        <v>49</v>
      </c>
      <c r="E30" s="3" t="s">
        <v>160</v>
      </c>
      <c r="F30" s="3" t="s">
        <v>161</v>
      </c>
      <c r="G30" s="3" t="s">
        <v>370</v>
      </c>
      <c r="H30" s="15" t="s">
        <v>371</v>
      </c>
      <c r="I30" s="15" t="s">
        <v>371</v>
      </c>
      <c r="J30" s="15" t="s">
        <v>161</v>
      </c>
      <c r="K30" s="15" t="s">
        <v>370</v>
      </c>
      <c r="L30" s="15" t="s">
        <v>162</v>
      </c>
      <c r="M30" s="15" t="s">
        <v>162</v>
      </c>
      <c r="N30" s="15" t="s">
        <v>162</v>
      </c>
      <c r="O30" s="15" t="s">
        <v>161</v>
      </c>
      <c r="P30" s="15" t="s">
        <v>71</v>
      </c>
      <c r="Q30" s="15" t="s">
        <v>161</v>
      </c>
      <c r="R30" s="3" t="s">
        <v>208</v>
      </c>
      <c r="S30" s="3" t="s">
        <v>146</v>
      </c>
    </row>
    <row r="31" spans="1:19" ht="23.25">
      <c r="A31" s="4">
        <v>27</v>
      </c>
      <c r="B31" s="7" t="s">
        <v>164</v>
      </c>
      <c r="C31" s="4" t="s">
        <v>165</v>
      </c>
      <c r="D31" s="4" t="s">
        <v>49</v>
      </c>
      <c r="E31" s="4" t="s">
        <v>166</v>
      </c>
      <c r="F31" s="4" t="s">
        <v>167</v>
      </c>
      <c r="G31" s="4" t="s">
        <v>199</v>
      </c>
      <c r="H31" s="16" t="s">
        <v>372</v>
      </c>
      <c r="I31" s="16" t="s">
        <v>373</v>
      </c>
      <c r="J31" s="16" t="s">
        <v>374</v>
      </c>
      <c r="K31" s="16" t="s">
        <v>375</v>
      </c>
      <c r="L31" s="16" t="s">
        <v>376</v>
      </c>
      <c r="M31" s="16" t="s">
        <v>377</v>
      </c>
      <c r="N31" s="16" t="s">
        <v>168</v>
      </c>
      <c r="O31" s="16" t="s">
        <v>215</v>
      </c>
      <c r="P31" s="16" t="s">
        <v>71</v>
      </c>
      <c r="Q31" s="16" t="s">
        <v>378</v>
      </c>
      <c r="R31" s="4" t="s">
        <v>208</v>
      </c>
      <c r="S31" s="4" t="s">
        <v>146</v>
      </c>
    </row>
  </sheetData>
  <mergeCells count="2">
    <mergeCell ref="A1:S2"/>
    <mergeCell ref="A3:S3"/>
  </mergeCells>
  <phoneticPr fontId="9" type="noConversion"/>
  <conditionalFormatting sqref="P5:P31">
    <cfRule type="containsText" dxfId="2" priority="1" operator="containsText" text="承压"/>
  </conditionalFormatting>
  <conditionalFormatting sqref="R5:R31">
    <cfRule type="containsText" dxfId="1" priority="2" operator="containsText" text="是"/>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4"/>
  <sheetViews>
    <sheetView showGridLines="0" workbookViewId="0">
      <selection sqref="A1:L2"/>
    </sheetView>
  </sheetViews>
  <sheetFormatPr defaultRowHeight="13.5"/>
  <cols>
    <col min="1" max="1" width="10" customWidth="1"/>
    <col min="2" max="2" width="13" customWidth="1"/>
    <col min="3" max="3" width="15" customWidth="1"/>
    <col min="4" max="4" width="17" customWidth="1"/>
    <col min="5" max="11" width="11" customWidth="1"/>
    <col min="12" max="12" width="14" customWidth="1"/>
  </cols>
  <sheetData>
    <row r="1" spans="1:12" ht="28.05" customHeight="1">
      <c r="A1" s="25" t="s">
        <v>379</v>
      </c>
      <c r="B1" s="26"/>
      <c r="C1" s="26"/>
      <c r="D1" s="26"/>
      <c r="E1" s="26"/>
      <c r="F1" s="26"/>
      <c r="G1" s="26"/>
      <c r="H1" s="26"/>
      <c r="I1" s="26"/>
      <c r="J1" s="26"/>
      <c r="K1" s="26"/>
      <c r="L1" s="26"/>
    </row>
    <row r="2" spans="1:12">
      <c r="A2" s="26"/>
      <c r="B2" s="26"/>
      <c r="C2" s="26"/>
      <c r="D2" s="26"/>
      <c r="E2" s="26"/>
      <c r="F2" s="26"/>
      <c r="G2" s="26"/>
      <c r="H2" s="26"/>
      <c r="I2" s="26"/>
      <c r="J2" s="26"/>
      <c r="K2" s="26"/>
      <c r="L2" s="26"/>
    </row>
    <row r="3" spans="1:12" ht="22.05" customHeight="1">
      <c r="A3" s="27" t="s">
        <v>380</v>
      </c>
      <c r="B3" s="26"/>
      <c r="C3" s="26"/>
      <c r="D3" s="26"/>
      <c r="E3" s="26"/>
      <c r="F3" s="26"/>
      <c r="G3" s="26"/>
      <c r="H3" s="26"/>
      <c r="I3" s="26"/>
      <c r="J3" s="26"/>
      <c r="K3" s="26"/>
      <c r="L3" s="26"/>
    </row>
    <row r="4" spans="1:12" ht="32" customHeight="1">
      <c r="A4" s="1" t="s">
        <v>56</v>
      </c>
      <c r="B4" s="1" t="s">
        <v>8</v>
      </c>
      <c r="C4" s="1" t="s">
        <v>9</v>
      </c>
      <c r="D4" s="1" t="s">
        <v>61</v>
      </c>
      <c r="E4" s="1" t="s">
        <v>381</v>
      </c>
      <c r="F4" s="1" t="s">
        <v>382</v>
      </c>
      <c r="G4" s="1" t="s">
        <v>383</v>
      </c>
      <c r="H4" s="1" t="s">
        <v>384</v>
      </c>
      <c r="I4" s="1" t="s">
        <v>385</v>
      </c>
      <c r="J4" s="1" t="s">
        <v>386</v>
      </c>
      <c r="K4" s="1" t="s">
        <v>387</v>
      </c>
      <c r="L4" s="1" t="s">
        <v>388</v>
      </c>
    </row>
    <row r="5" spans="1:12">
      <c r="A5" s="2">
        <v>1</v>
      </c>
      <c r="B5" s="5" t="s">
        <v>24</v>
      </c>
      <c r="C5" s="2" t="s">
        <v>25</v>
      </c>
      <c r="D5" s="2" t="s">
        <v>69</v>
      </c>
      <c r="E5" s="8">
        <v>63.001100000000001</v>
      </c>
      <c r="F5" s="8">
        <v>74.285399999999996</v>
      </c>
      <c r="G5" s="8">
        <v>49.781799999999997</v>
      </c>
      <c r="H5" s="8">
        <v>50</v>
      </c>
      <c r="I5" s="8">
        <v>100</v>
      </c>
      <c r="J5" s="8">
        <v>46.561799999999998</v>
      </c>
      <c r="K5" s="2" t="s">
        <v>208</v>
      </c>
      <c r="L5" s="2" t="s">
        <v>208</v>
      </c>
    </row>
    <row r="6" spans="1:12">
      <c r="A6" s="3">
        <v>2</v>
      </c>
      <c r="B6" s="6" t="s">
        <v>149</v>
      </c>
      <c r="C6" s="3" t="s">
        <v>150</v>
      </c>
      <c r="D6" s="3" t="s">
        <v>151</v>
      </c>
      <c r="E6" s="9">
        <v>62.659599999999998</v>
      </c>
      <c r="F6" s="9">
        <v>74.088999999999999</v>
      </c>
      <c r="G6" s="9">
        <v>52.941200000000002</v>
      </c>
      <c r="H6" s="9">
        <v>50</v>
      </c>
      <c r="I6" s="9">
        <v>100</v>
      </c>
      <c r="J6" s="9">
        <v>39.346899999999998</v>
      </c>
      <c r="K6" s="3" t="s">
        <v>208</v>
      </c>
      <c r="L6" s="3" t="s">
        <v>208</v>
      </c>
    </row>
    <row r="7" spans="1:12">
      <c r="A7" s="3">
        <v>3</v>
      </c>
      <c r="B7" s="6" t="s">
        <v>28</v>
      </c>
      <c r="C7" s="3" t="s">
        <v>29</v>
      </c>
      <c r="D7" s="3" t="s">
        <v>76</v>
      </c>
      <c r="E7" s="9">
        <v>62.495600000000003</v>
      </c>
      <c r="F7" s="9">
        <v>75.396100000000004</v>
      </c>
      <c r="G7" s="9">
        <v>49.411499999999997</v>
      </c>
      <c r="H7" s="9">
        <v>50</v>
      </c>
      <c r="I7" s="9">
        <v>95.862700000000004</v>
      </c>
      <c r="J7" s="9">
        <v>46.095399999999998</v>
      </c>
      <c r="K7" s="3" t="s">
        <v>208</v>
      </c>
      <c r="L7" s="3" t="s">
        <v>208</v>
      </c>
    </row>
    <row r="8" spans="1:12">
      <c r="A8" s="3">
        <v>4</v>
      </c>
      <c r="B8" s="6" t="s">
        <v>32</v>
      </c>
      <c r="C8" s="3" t="s">
        <v>33</v>
      </c>
      <c r="D8" s="3" t="s">
        <v>79</v>
      </c>
      <c r="E8" s="9">
        <v>62.072400000000002</v>
      </c>
      <c r="F8" s="9">
        <v>72.1434</v>
      </c>
      <c r="G8" s="9">
        <v>51.8005</v>
      </c>
      <c r="H8" s="9">
        <v>50</v>
      </c>
      <c r="I8" s="9">
        <v>90.619200000000006</v>
      </c>
      <c r="J8" s="9">
        <v>49.956899999999997</v>
      </c>
      <c r="K8" s="3" t="s">
        <v>208</v>
      </c>
      <c r="L8" s="3" t="s">
        <v>208</v>
      </c>
    </row>
    <row r="9" spans="1:12">
      <c r="A9" s="3">
        <v>5</v>
      </c>
      <c r="B9" s="6" t="s">
        <v>389</v>
      </c>
      <c r="C9" s="3" t="s">
        <v>390</v>
      </c>
      <c r="D9" s="3" t="s">
        <v>79</v>
      </c>
      <c r="E9" s="9">
        <v>61.917200000000001</v>
      </c>
      <c r="F9" s="9">
        <v>70.255399999999995</v>
      </c>
      <c r="G9" s="9">
        <v>52.941200000000002</v>
      </c>
      <c r="H9" s="9">
        <v>50</v>
      </c>
      <c r="I9" s="9">
        <v>95.8643</v>
      </c>
      <c r="J9" s="9">
        <v>44.922699999999999</v>
      </c>
      <c r="K9" s="3" t="s">
        <v>208</v>
      </c>
      <c r="L9" s="3" t="s">
        <v>391</v>
      </c>
    </row>
    <row r="10" spans="1:12">
      <c r="A10" s="3">
        <v>6</v>
      </c>
      <c r="B10" s="6" t="s">
        <v>35</v>
      </c>
      <c r="C10" s="3" t="s">
        <v>36</v>
      </c>
      <c r="D10" s="3" t="s">
        <v>82</v>
      </c>
      <c r="E10" s="9">
        <v>61.805</v>
      </c>
      <c r="F10" s="9">
        <v>72.684700000000007</v>
      </c>
      <c r="G10" s="9">
        <v>52.941200000000002</v>
      </c>
      <c r="H10" s="9">
        <v>50</v>
      </c>
      <c r="I10" s="9">
        <v>100</v>
      </c>
      <c r="J10" s="9">
        <v>35.990299999999998</v>
      </c>
      <c r="K10" s="3" t="s">
        <v>208</v>
      </c>
      <c r="L10" s="3" t="s">
        <v>208</v>
      </c>
    </row>
    <row r="11" spans="1:12">
      <c r="A11" s="3">
        <v>7</v>
      </c>
      <c r="B11" s="6" t="s">
        <v>38</v>
      </c>
      <c r="C11" s="3" t="s">
        <v>39</v>
      </c>
      <c r="D11" s="3" t="s">
        <v>69</v>
      </c>
      <c r="E11" s="9">
        <v>61.7652</v>
      </c>
      <c r="F11" s="9">
        <v>70.598600000000005</v>
      </c>
      <c r="G11" s="9">
        <v>52.941200000000002</v>
      </c>
      <c r="H11" s="9">
        <v>50</v>
      </c>
      <c r="I11" s="9">
        <v>98.355400000000003</v>
      </c>
      <c r="J11" s="9">
        <v>40.845999999999997</v>
      </c>
      <c r="K11" s="3" t="s">
        <v>208</v>
      </c>
      <c r="L11" s="3" t="s">
        <v>208</v>
      </c>
    </row>
    <row r="12" spans="1:12">
      <c r="A12" s="3">
        <v>8</v>
      </c>
      <c r="B12" s="6" t="s">
        <v>41</v>
      </c>
      <c r="C12" s="3" t="s">
        <v>42</v>
      </c>
      <c r="D12" s="3" t="s">
        <v>79</v>
      </c>
      <c r="E12" s="9">
        <v>61.757599999999996</v>
      </c>
      <c r="F12" s="9">
        <v>83.308700000000002</v>
      </c>
      <c r="G12" s="9">
        <v>46.081800000000001</v>
      </c>
      <c r="H12" s="9">
        <v>50</v>
      </c>
      <c r="I12" s="9">
        <v>74.689300000000003</v>
      </c>
      <c r="J12" s="9">
        <v>54.7104</v>
      </c>
      <c r="K12" s="3" t="s">
        <v>208</v>
      </c>
      <c r="L12" s="3" t="s">
        <v>208</v>
      </c>
    </row>
    <row r="13" spans="1:12">
      <c r="A13" s="3">
        <v>9</v>
      </c>
      <c r="B13" s="6" t="s">
        <v>44</v>
      </c>
      <c r="C13" s="3" t="s">
        <v>45</v>
      </c>
      <c r="D13" s="3" t="s">
        <v>86</v>
      </c>
      <c r="E13" s="9">
        <v>61.339700000000001</v>
      </c>
      <c r="F13" s="9">
        <v>73.560599999999994</v>
      </c>
      <c r="G13" s="9">
        <v>45.640799999999999</v>
      </c>
      <c r="H13" s="9">
        <v>50</v>
      </c>
      <c r="I13" s="9">
        <v>99.0505</v>
      </c>
      <c r="J13" s="9">
        <v>44.545099999999998</v>
      </c>
      <c r="K13" s="3" t="s">
        <v>208</v>
      </c>
      <c r="L13" s="3" t="s">
        <v>208</v>
      </c>
    </row>
    <row r="14" spans="1:12">
      <c r="A14" s="3">
        <v>10</v>
      </c>
      <c r="B14" s="6" t="s">
        <v>47</v>
      </c>
      <c r="C14" s="3" t="s">
        <v>48</v>
      </c>
      <c r="D14" s="3" t="s">
        <v>82</v>
      </c>
      <c r="E14" s="9">
        <v>61.261699999999998</v>
      </c>
      <c r="F14" s="9">
        <v>74.881399999999999</v>
      </c>
      <c r="G14" s="9">
        <v>52.941200000000002</v>
      </c>
      <c r="H14" s="9">
        <v>50</v>
      </c>
      <c r="I14" s="9">
        <v>100</v>
      </c>
      <c r="J14" s="9">
        <v>28.7072</v>
      </c>
      <c r="K14" s="3" t="s">
        <v>208</v>
      </c>
      <c r="L14" s="3" t="s">
        <v>208</v>
      </c>
    </row>
    <row r="15" spans="1:12">
      <c r="A15" s="3">
        <v>11</v>
      </c>
      <c r="B15" s="6" t="s">
        <v>392</v>
      </c>
      <c r="C15" s="3" t="s">
        <v>393</v>
      </c>
      <c r="D15" s="3" t="s">
        <v>394</v>
      </c>
      <c r="E15" s="9">
        <v>61.259500000000003</v>
      </c>
      <c r="F15" s="9">
        <v>73.081000000000003</v>
      </c>
      <c r="G15" s="9">
        <v>52.941200000000002</v>
      </c>
      <c r="H15" s="9">
        <v>50</v>
      </c>
      <c r="I15" s="9">
        <v>100</v>
      </c>
      <c r="J15" s="9">
        <v>31.693300000000001</v>
      </c>
      <c r="K15" s="3" t="s">
        <v>208</v>
      </c>
      <c r="L15" s="3" t="s">
        <v>391</v>
      </c>
    </row>
    <row r="16" spans="1:12">
      <c r="A16" s="3">
        <v>12</v>
      </c>
      <c r="B16" s="6" t="s">
        <v>395</v>
      </c>
      <c r="C16" s="3" t="s">
        <v>396</v>
      </c>
      <c r="D16" s="3" t="s">
        <v>397</v>
      </c>
      <c r="E16" s="9">
        <v>61.165700000000001</v>
      </c>
      <c r="F16" s="9">
        <v>62.779400000000003</v>
      </c>
      <c r="G16" s="9">
        <v>50.2652</v>
      </c>
      <c r="H16" s="9">
        <v>50</v>
      </c>
      <c r="I16" s="9">
        <v>100</v>
      </c>
      <c r="J16" s="9">
        <v>52.697299999999998</v>
      </c>
      <c r="K16" s="3" t="s">
        <v>208</v>
      </c>
      <c r="L16" s="3" t="s">
        <v>391</v>
      </c>
    </row>
    <row r="17" spans="1:12">
      <c r="A17" s="3">
        <v>13</v>
      </c>
      <c r="B17" s="6" t="s">
        <v>398</v>
      </c>
      <c r="C17" s="3" t="s">
        <v>399</v>
      </c>
      <c r="D17" s="3" t="s">
        <v>79</v>
      </c>
      <c r="E17" s="9">
        <v>61.158299999999997</v>
      </c>
      <c r="F17" s="9">
        <v>71.772300000000001</v>
      </c>
      <c r="G17" s="9">
        <v>52.941200000000002</v>
      </c>
      <c r="H17" s="9">
        <v>50</v>
      </c>
      <c r="I17" s="9">
        <v>100</v>
      </c>
      <c r="J17" s="9">
        <v>33.199300000000001</v>
      </c>
      <c r="K17" s="3" t="s">
        <v>208</v>
      </c>
      <c r="L17" s="3" t="s">
        <v>391</v>
      </c>
    </row>
    <row r="18" spans="1:12">
      <c r="A18" s="3">
        <v>14</v>
      </c>
      <c r="B18" s="6" t="s">
        <v>400</v>
      </c>
      <c r="C18" s="3" t="s">
        <v>401</v>
      </c>
      <c r="D18" s="3" t="s">
        <v>79</v>
      </c>
      <c r="E18" s="9">
        <v>60.847200000000001</v>
      </c>
      <c r="F18" s="9">
        <v>74.273899999999998</v>
      </c>
      <c r="G18" s="9">
        <v>52.941200000000002</v>
      </c>
      <c r="H18" s="9">
        <v>50</v>
      </c>
      <c r="I18" s="9">
        <v>100</v>
      </c>
      <c r="J18" s="9">
        <v>26.956199999999999</v>
      </c>
      <c r="K18" s="3" t="s">
        <v>208</v>
      </c>
      <c r="L18" s="3" t="s">
        <v>391</v>
      </c>
    </row>
    <row r="19" spans="1:12">
      <c r="A19" s="3">
        <v>15</v>
      </c>
      <c r="B19" s="6" t="s">
        <v>131</v>
      </c>
      <c r="C19" s="3" t="s">
        <v>132</v>
      </c>
      <c r="D19" s="3" t="s">
        <v>69</v>
      </c>
      <c r="E19" s="9">
        <v>60.751100000000001</v>
      </c>
      <c r="F19" s="9">
        <v>74.066000000000003</v>
      </c>
      <c r="G19" s="9">
        <v>52.941200000000002</v>
      </c>
      <c r="H19" s="9">
        <v>50</v>
      </c>
      <c r="I19" s="9">
        <v>82.964200000000005</v>
      </c>
      <c r="J19" s="9">
        <v>43.697499999999998</v>
      </c>
      <c r="K19" s="3" t="s">
        <v>208</v>
      </c>
      <c r="L19" s="3" t="s">
        <v>208</v>
      </c>
    </row>
    <row r="20" spans="1:12">
      <c r="A20" s="3">
        <v>16</v>
      </c>
      <c r="B20" s="6" t="s">
        <v>51</v>
      </c>
      <c r="C20" s="3" t="s">
        <v>52</v>
      </c>
      <c r="D20" s="3" t="s">
        <v>89</v>
      </c>
      <c r="E20" s="9">
        <v>60.676000000000002</v>
      </c>
      <c r="F20" s="9">
        <v>77.705699999999993</v>
      </c>
      <c r="G20" s="9">
        <v>52.941200000000002</v>
      </c>
      <c r="H20" s="9">
        <v>50</v>
      </c>
      <c r="I20" s="9">
        <v>85.556600000000003</v>
      </c>
      <c r="J20" s="9">
        <v>34.538499999999999</v>
      </c>
      <c r="K20" s="3" t="s">
        <v>208</v>
      </c>
      <c r="L20" s="3" t="s">
        <v>208</v>
      </c>
    </row>
    <row r="21" spans="1:12">
      <c r="A21" s="3">
        <v>17</v>
      </c>
      <c r="B21" s="6" t="s">
        <v>402</v>
      </c>
      <c r="C21" s="3" t="s">
        <v>403</v>
      </c>
      <c r="D21" s="3" t="s">
        <v>397</v>
      </c>
      <c r="E21" s="9">
        <v>60.592700000000001</v>
      </c>
      <c r="F21" s="9">
        <v>70.043099999999995</v>
      </c>
      <c r="G21" s="9">
        <v>52.941200000000002</v>
      </c>
      <c r="H21" s="9">
        <v>50</v>
      </c>
      <c r="I21" s="9">
        <v>96.027100000000004</v>
      </c>
      <c r="J21" s="9">
        <v>36.283700000000003</v>
      </c>
      <c r="K21" s="3" t="s">
        <v>208</v>
      </c>
      <c r="L21" s="3" t="s">
        <v>391</v>
      </c>
    </row>
    <row r="22" spans="1:12">
      <c r="A22" s="3">
        <v>18</v>
      </c>
      <c r="B22" s="6" t="s">
        <v>404</v>
      </c>
      <c r="C22" s="3" t="s">
        <v>405</v>
      </c>
      <c r="D22" s="3" t="s">
        <v>97</v>
      </c>
      <c r="E22" s="9">
        <v>60.527000000000001</v>
      </c>
      <c r="F22" s="9">
        <v>77.960800000000006</v>
      </c>
      <c r="G22" s="9">
        <v>52.941200000000002</v>
      </c>
      <c r="H22" s="9">
        <v>50</v>
      </c>
      <c r="I22" s="9">
        <v>81.697599999999994</v>
      </c>
      <c r="J22" s="9">
        <v>36.979399999999998</v>
      </c>
      <c r="K22" s="3" t="s">
        <v>208</v>
      </c>
      <c r="L22" s="3" t="s">
        <v>391</v>
      </c>
    </row>
    <row r="23" spans="1:12">
      <c r="A23" s="3">
        <v>19</v>
      </c>
      <c r="B23" s="6" t="s">
        <v>406</v>
      </c>
      <c r="C23" s="3" t="s">
        <v>407</v>
      </c>
      <c r="D23" s="3" t="s">
        <v>397</v>
      </c>
      <c r="E23" s="9">
        <v>60.449199999999998</v>
      </c>
      <c r="F23" s="9">
        <v>78.075400000000002</v>
      </c>
      <c r="G23" s="9">
        <v>52.941200000000002</v>
      </c>
      <c r="H23" s="9">
        <v>50</v>
      </c>
      <c r="I23" s="9">
        <v>69.130700000000004</v>
      </c>
      <c r="J23" s="9">
        <v>48.836300000000001</v>
      </c>
      <c r="K23" s="3" t="s">
        <v>208</v>
      </c>
      <c r="L23" s="3" t="s">
        <v>391</v>
      </c>
    </row>
    <row r="24" spans="1:12">
      <c r="A24" s="3">
        <v>20</v>
      </c>
      <c r="B24" s="6" t="s">
        <v>408</v>
      </c>
      <c r="C24" s="3" t="s">
        <v>409</v>
      </c>
      <c r="D24" s="3" t="s">
        <v>410</v>
      </c>
      <c r="E24" s="9">
        <v>60.258499999999998</v>
      </c>
      <c r="F24" s="9">
        <v>79.692499999999995</v>
      </c>
      <c r="G24" s="9">
        <v>52.941200000000002</v>
      </c>
      <c r="H24" s="9">
        <v>50</v>
      </c>
      <c r="I24" s="9">
        <v>94.227500000000006</v>
      </c>
      <c r="J24" s="9">
        <v>19.773099999999999</v>
      </c>
      <c r="K24" s="3" t="s">
        <v>208</v>
      </c>
      <c r="L24" s="3" t="s">
        <v>391</v>
      </c>
    </row>
    <row r="25" spans="1:12">
      <c r="A25" s="3">
        <v>21</v>
      </c>
      <c r="B25" s="6" t="s">
        <v>411</v>
      </c>
      <c r="C25" s="3" t="s">
        <v>412</v>
      </c>
      <c r="D25" s="3" t="s">
        <v>413</v>
      </c>
      <c r="E25" s="9">
        <v>60.079700000000003</v>
      </c>
      <c r="F25" s="9">
        <v>70.9255</v>
      </c>
      <c r="G25" s="9">
        <v>40.140799999999999</v>
      </c>
      <c r="H25" s="9">
        <v>50</v>
      </c>
      <c r="I25" s="9">
        <v>100</v>
      </c>
      <c r="J25" s="9">
        <v>48.754300000000001</v>
      </c>
      <c r="K25" s="3" t="s">
        <v>208</v>
      </c>
      <c r="L25" s="3" t="s">
        <v>391</v>
      </c>
    </row>
    <row r="26" spans="1:12">
      <c r="A26" s="3">
        <v>22</v>
      </c>
      <c r="B26" s="6" t="s">
        <v>414</v>
      </c>
      <c r="C26" s="3" t="s">
        <v>415</v>
      </c>
      <c r="D26" s="3" t="s">
        <v>410</v>
      </c>
      <c r="E26" s="9">
        <v>60.0458</v>
      </c>
      <c r="F26" s="9">
        <v>76.644000000000005</v>
      </c>
      <c r="G26" s="9">
        <v>52.941200000000002</v>
      </c>
      <c r="H26" s="9">
        <v>50</v>
      </c>
      <c r="I26" s="9">
        <v>80.4161</v>
      </c>
      <c r="J26" s="9">
        <v>37.247300000000003</v>
      </c>
      <c r="K26" s="3" t="s">
        <v>208</v>
      </c>
      <c r="L26" s="3" t="s">
        <v>391</v>
      </c>
    </row>
    <row r="27" spans="1:12">
      <c r="A27" s="3">
        <v>23</v>
      </c>
      <c r="B27" s="6" t="s">
        <v>416</v>
      </c>
      <c r="C27" s="3" t="s">
        <v>417</v>
      </c>
      <c r="D27" s="3" t="s">
        <v>397</v>
      </c>
      <c r="E27" s="9">
        <v>59.9619</v>
      </c>
      <c r="F27" s="9">
        <v>79.425700000000006</v>
      </c>
      <c r="G27" s="9">
        <v>38.440800000000003</v>
      </c>
      <c r="H27" s="9">
        <v>50</v>
      </c>
      <c r="I27" s="9">
        <v>86.356499999999997</v>
      </c>
      <c r="J27" s="9">
        <v>50.278500000000001</v>
      </c>
      <c r="K27" s="3" t="s">
        <v>208</v>
      </c>
      <c r="L27" s="3" t="s">
        <v>391</v>
      </c>
    </row>
    <row r="28" spans="1:12">
      <c r="A28" s="3">
        <v>24</v>
      </c>
      <c r="B28" s="6" t="s">
        <v>418</v>
      </c>
      <c r="C28" s="3" t="s">
        <v>419</v>
      </c>
      <c r="D28" s="3" t="s">
        <v>420</v>
      </c>
      <c r="E28" s="9">
        <v>59.871299999999998</v>
      </c>
      <c r="F28" s="9">
        <v>69.806200000000004</v>
      </c>
      <c r="G28" s="9">
        <v>46.184600000000003</v>
      </c>
      <c r="H28" s="9">
        <v>50</v>
      </c>
      <c r="I28" s="9">
        <v>100</v>
      </c>
      <c r="J28" s="9">
        <v>39.157299999999999</v>
      </c>
      <c r="K28" s="3" t="s">
        <v>208</v>
      </c>
      <c r="L28" s="3" t="s">
        <v>391</v>
      </c>
    </row>
    <row r="29" spans="1:12">
      <c r="A29" s="3">
        <v>25</v>
      </c>
      <c r="B29" s="6" t="s">
        <v>421</v>
      </c>
      <c r="C29" s="3" t="s">
        <v>422</v>
      </c>
      <c r="D29" s="3" t="s">
        <v>76</v>
      </c>
      <c r="E29" s="9">
        <v>59.867100000000001</v>
      </c>
      <c r="F29" s="9">
        <v>72.3767</v>
      </c>
      <c r="G29" s="9">
        <v>52.941200000000002</v>
      </c>
      <c r="H29" s="9">
        <v>50</v>
      </c>
      <c r="I29" s="9">
        <v>100</v>
      </c>
      <c r="J29" s="9">
        <v>23.5839</v>
      </c>
      <c r="K29" s="3" t="s">
        <v>208</v>
      </c>
      <c r="L29" s="3" t="s">
        <v>391</v>
      </c>
    </row>
    <row r="30" spans="1:12">
      <c r="A30" s="3">
        <v>26</v>
      </c>
      <c r="B30" s="6" t="s">
        <v>423</v>
      </c>
      <c r="C30" s="3" t="s">
        <v>424</v>
      </c>
      <c r="D30" s="3" t="s">
        <v>69</v>
      </c>
      <c r="E30" s="9">
        <v>59.854799999999997</v>
      </c>
      <c r="F30" s="9">
        <v>68.667900000000003</v>
      </c>
      <c r="G30" s="9">
        <v>52.941200000000002</v>
      </c>
      <c r="H30" s="9">
        <v>50</v>
      </c>
      <c r="I30" s="9">
        <v>87.050200000000004</v>
      </c>
      <c r="J30" s="9">
        <v>42.633400000000002</v>
      </c>
      <c r="K30" s="3" t="s">
        <v>208</v>
      </c>
      <c r="L30" s="3" t="s">
        <v>391</v>
      </c>
    </row>
    <row r="31" spans="1:12">
      <c r="A31" s="3">
        <v>27</v>
      </c>
      <c r="B31" s="6" t="s">
        <v>425</v>
      </c>
      <c r="C31" s="3" t="s">
        <v>426</v>
      </c>
      <c r="D31" s="3" t="s">
        <v>397</v>
      </c>
      <c r="E31" s="9">
        <v>59.8538</v>
      </c>
      <c r="F31" s="9">
        <v>67.475899999999996</v>
      </c>
      <c r="G31" s="9">
        <v>52.941200000000002</v>
      </c>
      <c r="H31" s="9">
        <v>50</v>
      </c>
      <c r="I31" s="9">
        <v>90.982299999999995</v>
      </c>
      <c r="J31" s="9">
        <v>40.681399999999996</v>
      </c>
      <c r="K31" s="3" t="s">
        <v>208</v>
      </c>
      <c r="L31" s="3" t="s">
        <v>391</v>
      </c>
    </row>
    <row r="32" spans="1:12">
      <c r="A32" s="3">
        <v>28</v>
      </c>
      <c r="B32" s="6" t="s">
        <v>427</v>
      </c>
      <c r="C32" s="3" t="s">
        <v>428</v>
      </c>
      <c r="D32" s="3" t="s">
        <v>429</v>
      </c>
      <c r="E32" s="9">
        <v>59.846800000000002</v>
      </c>
      <c r="F32" s="9">
        <v>68.313699999999997</v>
      </c>
      <c r="G32" s="9">
        <v>52.941200000000002</v>
      </c>
      <c r="H32" s="9">
        <v>50</v>
      </c>
      <c r="I32" s="9">
        <v>83.611900000000006</v>
      </c>
      <c r="J32" s="9">
        <v>46.608400000000003</v>
      </c>
      <c r="K32" s="3" t="s">
        <v>208</v>
      </c>
      <c r="L32" s="3" t="s">
        <v>391</v>
      </c>
    </row>
    <row r="33" spans="1:12">
      <c r="A33" s="3">
        <v>29</v>
      </c>
      <c r="B33" s="6" t="s">
        <v>430</v>
      </c>
      <c r="C33" s="3" t="s">
        <v>431</v>
      </c>
      <c r="D33" s="3" t="s">
        <v>432</v>
      </c>
      <c r="E33" s="9">
        <v>59.816299999999998</v>
      </c>
      <c r="F33" s="9">
        <v>73.0107</v>
      </c>
      <c r="G33" s="9">
        <v>52.941200000000002</v>
      </c>
      <c r="H33" s="9">
        <v>50</v>
      </c>
      <c r="I33" s="9">
        <v>96.442499999999995</v>
      </c>
      <c r="J33" s="9">
        <v>25.746300000000002</v>
      </c>
      <c r="K33" s="3" t="s">
        <v>208</v>
      </c>
      <c r="L33" s="3" t="s">
        <v>391</v>
      </c>
    </row>
    <row r="34" spans="1:12">
      <c r="A34" s="3">
        <v>30</v>
      </c>
      <c r="B34" s="6" t="s">
        <v>433</v>
      </c>
      <c r="C34" s="3" t="s">
        <v>434</v>
      </c>
      <c r="D34" s="3" t="s">
        <v>410</v>
      </c>
      <c r="E34" s="9">
        <v>59.768099999999997</v>
      </c>
      <c r="F34" s="9">
        <v>71.245800000000003</v>
      </c>
      <c r="G34" s="9">
        <v>52.941200000000002</v>
      </c>
      <c r="H34" s="9">
        <v>50</v>
      </c>
      <c r="I34" s="9">
        <v>100</v>
      </c>
      <c r="J34" s="9">
        <v>24.809200000000001</v>
      </c>
      <c r="K34" s="3" t="s">
        <v>208</v>
      </c>
      <c r="L34" s="3" t="s">
        <v>391</v>
      </c>
    </row>
    <row r="35" spans="1:12">
      <c r="A35" s="3">
        <v>31</v>
      </c>
      <c r="B35" s="6" t="s">
        <v>435</v>
      </c>
      <c r="C35" s="3" t="s">
        <v>436</v>
      </c>
      <c r="D35" s="3" t="s">
        <v>76</v>
      </c>
      <c r="E35" s="9">
        <v>59.698500000000003</v>
      </c>
      <c r="F35" s="9">
        <v>71.851600000000005</v>
      </c>
      <c r="G35" s="9">
        <v>52.941200000000002</v>
      </c>
      <c r="H35" s="9">
        <v>50</v>
      </c>
      <c r="I35" s="9">
        <v>85.966700000000003</v>
      </c>
      <c r="J35" s="9">
        <v>37.368899999999996</v>
      </c>
      <c r="K35" s="3" t="s">
        <v>208</v>
      </c>
      <c r="L35" s="3" t="s">
        <v>391</v>
      </c>
    </row>
    <row r="36" spans="1:12">
      <c r="A36" s="3">
        <v>32</v>
      </c>
      <c r="B36" s="6" t="s">
        <v>437</v>
      </c>
      <c r="C36" s="3" t="s">
        <v>438</v>
      </c>
      <c r="D36" s="3" t="s">
        <v>439</v>
      </c>
      <c r="E36" s="9">
        <v>59.665199999999999</v>
      </c>
      <c r="F36" s="9">
        <v>77.897599999999997</v>
      </c>
      <c r="G36" s="9">
        <v>39.688699999999997</v>
      </c>
      <c r="H36" s="9">
        <v>50</v>
      </c>
      <c r="I36" s="9">
        <v>100</v>
      </c>
      <c r="J36" s="9">
        <v>35.124099999999999</v>
      </c>
      <c r="K36" s="3" t="s">
        <v>208</v>
      </c>
      <c r="L36" s="3" t="s">
        <v>391</v>
      </c>
    </row>
    <row r="37" spans="1:12">
      <c r="A37" s="3">
        <v>33</v>
      </c>
      <c r="B37" s="6" t="s">
        <v>440</v>
      </c>
      <c r="C37" s="3" t="s">
        <v>441</v>
      </c>
      <c r="D37" s="3" t="s">
        <v>69</v>
      </c>
      <c r="E37" s="9">
        <v>59.543700000000001</v>
      </c>
      <c r="F37" s="9">
        <v>74.321399999999997</v>
      </c>
      <c r="G37" s="9">
        <v>52.941200000000002</v>
      </c>
      <c r="H37" s="9">
        <v>50</v>
      </c>
      <c r="I37" s="9">
        <v>97.769800000000004</v>
      </c>
      <c r="J37" s="9">
        <v>20.417100000000001</v>
      </c>
      <c r="K37" s="3" t="s">
        <v>208</v>
      </c>
      <c r="L37" s="3" t="s">
        <v>391</v>
      </c>
    </row>
    <row r="38" spans="1:12">
      <c r="A38" s="3">
        <v>34</v>
      </c>
      <c r="B38" s="6" t="s">
        <v>442</v>
      </c>
      <c r="C38" s="3" t="s">
        <v>443</v>
      </c>
      <c r="D38" s="3" t="s">
        <v>444</v>
      </c>
      <c r="E38" s="9">
        <v>59.536200000000001</v>
      </c>
      <c r="F38" s="9">
        <v>75.245800000000003</v>
      </c>
      <c r="G38" s="9">
        <v>41.638800000000003</v>
      </c>
      <c r="H38" s="9">
        <v>50</v>
      </c>
      <c r="I38" s="9">
        <v>99.753699999999995</v>
      </c>
      <c r="J38" s="9">
        <v>35.680100000000003</v>
      </c>
      <c r="K38" s="3" t="s">
        <v>208</v>
      </c>
      <c r="L38" s="3" t="s">
        <v>391</v>
      </c>
    </row>
    <row r="39" spans="1:12">
      <c r="A39" s="3">
        <v>35</v>
      </c>
      <c r="B39" s="6" t="s">
        <v>19</v>
      </c>
      <c r="C39" s="3" t="s">
        <v>20</v>
      </c>
      <c r="D39" s="3" t="s">
        <v>69</v>
      </c>
      <c r="E39" s="9">
        <v>59.4071</v>
      </c>
      <c r="F39" s="9">
        <v>74.893000000000001</v>
      </c>
      <c r="G39" s="9">
        <v>45.063499999999998</v>
      </c>
      <c r="H39" s="9">
        <v>50</v>
      </c>
      <c r="I39" s="9">
        <v>100</v>
      </c>
      <c r="J39" s="9">
        <v>29.453199999999999</v>
      </c>
      <c r="K39" s="3" t="s">
        <v>208</v>
      </c>
      <c r="L39" s="3" t="s">
        <v>208</v>
      </c>
    </row>
    <row r="40" spans="1:12">
      <c r="A40" s="3">
        <v>36</v>
      </c>
      <c r="B40" s="6" t="s">
        <v>445</v>
      </c>
      <c r="C40" s="3" t="s">
        <v>446</v>
      </c>
      <c r="D40" s="3" t="s">
        <v>97</v>
      </c>
      <c r="E40" s="9">
        <v>59.246699999999997</v>
      </c>
      <c r="F40" s="9">
        <v>76.239400000000003</v>
      </c>
      <c r="G40" s="9">
        <v>52.941200000000002</v>
      </c>
      <c r="H40" s="9">
        <v>50</v>
      </c>
      <c r="I40" s="9">
        <v>78.462800000000001</v>
      </c>
      <c r="J40" s="9">
        <v>34.547499999999999</v>
      </c>
      <c r="K40" s="3" t="s">
        <v>208</v>
      </c>
      <c r="L40" s="3" t="s">
        <v>391</v>
      </c>
    </row>
    <row r="41" spans="1:12">
      <c r="A41" s="3">
        <v>37</v>
      </c>
      <c r="B41" s="6" t="s">
        <v>447</v>
      </c>
      <c r="C41" s="3" t="s">
        <v>448</v>
      </c>
      <c r="D41" s="3" t="s">
        <v>97</v>
      </c>
      <c r="E41" s="9">
        <v>59.230899999999998</v>
      </c>
      <c r="F41" s="9">
        <v>76.735299999999995</v>
      </c>
      <c r="G41" s="9">
        <v>52.941200000000002</v>
      </c>
      <c r="H41" s="9">
        <v>50</v>
      </c>
      <c r="I41" s="9">
        <v>88.510199999999998</v>
      </c>
      <c r="J41" s="9">
        <v>23.568000000000001</v>
      </c>
      <c r="K41" s="3" t="s">
        <v>208</v>
      </c>
      <c r="L41" s="3" t="s">
        <v>391</v>
      </c>
    </row>
    <row r="42" spans="1:12">
      <c r="A42" s="3">
        <v>38</v>
      </c>
      <c r="B42" s="6" t="s">
        <v>449</v>
      </c>
      <c r="C42" s="3" t="s">
        <v>450</v>
      </c>
      <c r="D42" s="3" t="s">
        <v>429</v>
      </c>
      <c r="E42" s="9">
        <v>59.208599999999997</v>
      </c>
      <c r="F42" s="9">
        <v>79.208699999999993</v>
      </c>
      <c r="G42" s="9">
        <v>40.047199999999997</v>
      </c>
      <c r="H42" s="9">
        <v>50</v>
      </c>
      <c r="I42" s="9">
        <v>82.778099999999995</v>
      </c>
      <c r="J42" s="9">
        <v>46.519500000000001</v>
      </c>
      <c r="K42" s="3" t="s">
        <v>208</v>
      </c>
      <c r="L42" s="3" t="s">
        <v>391</v>
      </c>
    </row>
    <row r="43" spans="1:12">
      <c r="A43" s="3">
        <v>39</v>
      </c>
      <c r="B43" s="6" t="s">
        <v>451</v>
      </c>
      <c r="C43" s="3" t="s">
        <v>452</v>
      </c>
      <c r="D43" s="3" t="s">
        <v>410</v>
      </c>
      <c r="E43" s="9">
        <v>59.1708</v>
      </c>
      <c r="F43" s="9">
        <v>73.340299999999999</v>
      </c>
      <c r="G43" s="9">
        <v>36.5852</v>
      </c>
      <c r="H43" s="9">
        <v>50</v>
      </c>
      <c r="I43" s="9">
        <v>100</v>
      </c>
      <c r="J43" s="9">
        <v>44.5961</v>
      </c>
      <c r="K43" s="3" t="s">
        <v>208</v>
      </c>
      <c r="L43" s="3" t="s">
        <v>391</v>
      </c>
    </row>
    <row r="44" spans="1:12">
      <c r="A44" s="3">
        <v>40</v>
      </c>
      <c r="B44" s="6" t="s">
        <v>453</v>
      </c>
      <c r="C44" s="3" t="s">
        <v>454</v>
      </c>
      <c r="D44" s="3" t="s">
        <v>455</v>
      </c>
      <c r="E44" s="9">
        <v>58.974499999999999</v>
      </c>
      <c r="F44" s="9">
        <v>81.056399999999996</v>
      </c>
      <c r="G44" s="9">
        <v>42.625799999999998</v>
      </c>
      <c r="H44" s="9">
        <v>50</v>
      </c>
      <c r="I44" s="9">
        <v>76.367999999999995</v>
      </c>
      <c r="J44" s="9">
        <v>43.991599999999998</v>
      </c>
      <c r="K44" s="3" t="s">
        <v>208</v>
      </c>
      <c r="L44" s="3" t="s">
        <v>391</v>
      </c>
    </row>
    <row r="45" spans="1:12">
      <c r="A45" s="3">
        <v>41</v>
      </c>
      <c r="B45" s="6" t="s">
        <v>456</v>
      </c>
      <c r="C45" s="3" t="s">
        <v>457</v>
      </c>
      <c r="D45" s="3" t="s">
        <v>458</v>
      </c>
      <c r="E45" s="9">
        <v>58.887099999999997</v>
      </c>
      <c r="F45" s="9">
        <v>63.099600000000002</v>
      </c>
      <c r="G45" s="9">
        <v>52.941200000000002</v>
      </c>
      <c r="H45" s="9">
        <v>50</v>
      </c>
      <c r="I45" s="9">
        <v>96.483999999999995</v>
      </c>
      <c r="J45" s="9">
        <v>36.028500000000001</v>
      </c>
      <c r="K45" s="3" t="s">
        <v>208</v>
      </c>
      <c r="L45" s="3" t="s">
        <v>391</v>
      </c>
    </row>
    <row r="46" spans="1:12">
      <c r="A46" s="3">
        <v>42</v>
      </c>
      <c r="B46" s="6" t="s">
        <v>459</v>
      </c>
      <c r="C46" s="3" t="s">
        <v>460</v>
      </c>
      <c r="D46" s="3" t="s">
        <v>439</v>
      </c>
      <c r="E46" s="9">
        <v>58.7637</v>
      </c>
      <c r="F46" s="9">
        <v>71.5197</v>
      </c>
      <c r="G46" s="9">
        <v>52.941200000000002</v>
      </c>
      <c r="H46" s="9">
        <v>50</v>
      </c>
      <c r="I46" s="9">
        <v>90.793300000000002</v>
      </c>
      <c r="J46" s="9">
        <v>26.863399999999999</v>
      </c>
      <c r="K46" s="3" t="s">
        <v>208</v>
      </c>
      <c r="L46" s="3" t="s">
        <v>391</v>
      </c>
    </row>
    <row r="47" spans="1:12">
      <c r="A47" s="3">
        <v>43</v>
      </c>
      <c r="B47" s="6" t="s">
        <v>91</v>
      </c>
      <c r="C47" s="3" t="s">
        <v>92</v>
      </c>
      <c r="D47" s="3" t="s">
        <v>69</v>
      </c>
      <c r="E47" s="9">
        <v>58.741700000000002</v>
      </c>
      <c r="F47" s="9">
        <v>67.3827</v>
      </c>
      <c r="G47" s="9">
        <v>52.640500000000003</v>
      </c>
      <c r="H47" s="9">
        <v>50</v>
      </c>
      <c r="I47" s="9">
        <v>100</v>
      </c>
      <c r="J47" s="9">
        <v>24.906099999999999</v>
      </c>
      <c r="K47" s="3" t="s">
        <v>208</v>
      </c>
      <c r="L47" s="3" t="s">
        <v>208</v>
      </c>
    </row>
    <row r="48" spans="1:12">
      <c r="A48" s="3">
        <v>44</v>
      </c>
      <c r="B48" s="6" t="s">
        <v>461</v>
      </c>
      <c r="C48" s="3" t="s">
        <v>462</v>
      </c>
      <c r="D48" s="3" t="s">
        <v>444</v>
      </c>
      <c r="E48" s="9">
        <v>58.738100000000003</v>
      </c>
      <c r="F48" s="9">
        <v>69.268000000000001</v>
      </c>
      <c r="G48" s="9">
        <v>52.941200000000002</v>
      </c>
      <c r="H48" s="9">
        <v>50</v>
      </c>
      <c r="I48" s="9">
        <v>80.046400000000006</v>
      </c>
      <c r="J48" s="9">
        <v>41.192300000000003</v>
      </c>
      <c r="K48" s="3" t="s">
        <v>208</v>
      </c>
      <c r="L48" s="3" t="s">
        <v>391</v>
      </c>
    </row>
    <row r="49" spans="1:12">
      <c r="A49" s="3">
        <v>45</v>
      </c>
      <c r="B49" s="6" t="s">
        <v>463</v>
      </c>
      <c r="C49" s="3" t="s">
        <v>464</v>
      </c>
      <c r="D49" s="3" t="s">
        <v>465</v>
      </c>
      <c r="E49" s="9">
        <v>58.711500000000001</v>
      </c>
      <c r="F49" s="9">
        <v>69.911000000000001</v>
      </c>
      <c r="G49" s="9">
        <v>51.463500000000003</v>
      </c>
      <c r="H49" s="9">
        <v>50</v>
      </c>
      <c r="I49" s="9">
        <v>100</v>
      </c>
      <c r="J49" s="9">
        <v>22.452200000000001</v>
      </c>
      <c r="K49" s="3" t="s">
        <v>208</v>
      </c>
      <c r="L49" s="3" t="s">
        <v>391</v>
      </c>
    </row>
    <row r="50" spans="1:12">
      <c r="A50" s="3">
        <v>46</v>
      </c>
      <c r="B50" s="6" t="s">
        <v>466</v>
      </c>
      <c r="C50" s="3" t="s">
        <v>467</v>
      </c>
      <c r="D50" s="3" t="s">
        <v>123</v>
      </c>
      <c r="E50" s="9">
        <v>58.686599999999999</v>
      </c>
      <c r="F50" s="9">
        <v>75.758200000000002</v>
      </c>
      <c r="G50" s="9">
        <v>48.419400000000003</v>
      </c>
      <c r="H50" s="9">
        <v>50</v>
      </c>
      <c r="I50" s="9">
        <v>100</v>
      </c>
      <c r="J50" s="9">
        <v>17.6145</v>
      </c>
      <c r="K50" s="3" t="s">
        <v>208</v>
      </c>
      <c r="L50" s="3" t="s">
        <v>391</v>
      </c>
    </row>
    <row r="51" spans="1:12">
      <c r="A51" s="3">
        <v>47</v>
      </c>
      <c r="B51" s="6" t="s">
        <v>468</v>
      </c>
      <c r="C51" s="3" t="s">
        <v>469</v>
      </c>
      <c r="D51" s="3" t="s">
        <v>470</v>
      </c>
      <c r="E51" s="9">
        <v>58.544199999999996</v>
      </c>
      <c r="F51" s="9">
        <v>85.867400000000004</v>
      </c>
      <c r="G51" s="9">
        <v>34.374499999999998</v>
      </c>
      <c r="H51" s="9">
        <v>50</v>
      </c>
      <c r="I51" s="9">
        <v>78.754099999999994</v>
      </c>
      <c r="J51" s="9">
        <v>44.470700000000001</v>
      </c>
      <c r="K51" s="3" t="s">
        <v>208</v>
      </c>
      <c r="L51" s="3" t="s">
        <v>391</v>
      </c>
    </row>
    <row r="52" spans="1:12">
      <c r="A52" s="3">
        <v>48</v>
      </c>
      <c r="B52" s="6" t="s">
        <v>471</v>
      </c>
      <c r="C52" s="3" t="s">
        <v>472</v>
      </c>
      <c r="D52" s="3" t="s">
        <v>413</v>
      </c>
      <c r="E52" s="9">
        <v>58.478700000000003</v>
      </c>
      <c r="F52" s="9">
        <v>79.580799999999996</v>
      </c>
      <c r="G52" s="9">
        <v>37.638199999999998</v>
      </c>
      <c r="H52" s="9">
        <v>50</v>
      </c>
      <c r="I52" s="9">
        <v>85.055800000000005</v>
      </c>
      <c r="J52" s="9">
        <v>42.770699999999998</v>
      </c>
      <c r="K52" s="3" t="s">
        <v>208</v>
      </c>
      <c r="L52" s="3" t="s">
        <v>391</v>
      </c>
    </row>
    <row r="53" spans="1:12">
      <c r="A53" s="3">
        <v>49</v>
      </c>
      <c r="B53" s="6" t="s">
        <v>473</v>
      </c>
      <c r="C53" s="3" t="s">
        <v>474</v>
      </c>
      <c r="D53" s="3" t="s">
        <v>475</v>
      </c>
      <c r="E53" s="9">
        <v>58.2971</v>
      </c>
      <c r="F53" s="9">
        <v>73.680700000000002</v>
      </c>
      <c r="G53" s="9">
        <v>37.5</v>
      </c>
      <c r="H53" s="9">
        <v>50</v>
      </c>
      <c r="I53" s="9">
        <v>96.160399999999996</v>
      </c>
      <c r="J53" s="9">
        <v>40.519300000000001</v>
      </c>
      <c r="K53" s="3" t="s">
        <v>208</v>
      </c>
      <c r="L53" s="3" t="s">
        <v>391</v>
      </c>
    </row>
    <row r="54" spans="1:12">
      <c r="A54" s="3">
        <v>50</v>
      </c>
      <c r="B54" s="6" t="s">
        <v>476</v>
      </c>
      <c r="C54" s="3" t="s">
        <v>477</v>
      </c>
      <c r="D54" s="3" t="s">
        <v>394</v>
      </c>
      <c r="E54" s="9">
        <v>58.1051</v>
      </c>
      <c r="F54" s="9">
        <v>69.439700000000002</v>
      </c>
      <c r="G54" s="9">
        <v>52.941200000000002</v>
      </c>
      <c r="H54" s="9">
        <v>50</v>
      </c>
      <c r="I54" s="9">
        <v>86.959299999999999</v>
      </c>
      <c r="J54" s="9">
        <v>29.773</v>
      </c>
      <c r="K54" s="3" t="s">
        <v>208</v>
      </c>
      <c r="L54" s="3" t="s">
        <v>391</v>
      </c>
    </row>
    <row r="55" spans="1:12">
      <c r="A55" s="3">
        <v>51</v>
      </c>
      <c r="B55" s="6" t="s">
        <v>478</v>
      </c>
      <c r="C55" s="3" t="s">
        <v>479</v>
      </c>
      <c r="D55" s="3" t="s">
        <v>480</v>
      </c>
      <c r="E55" s="9">
        <v>57.992600000000003</v>
      </c>
      <c r="F55" s="9">
        <v>74.906599999999997</v>
      </c>
      <c r="G55" s="9">
        <v>52.763800000000003</v>
      </c>
      <c r="H55" s="9">
        <v>50</v>
      </c>
      <c r="I55" s="9">
        <v>68.496099999999998</v>
      </c>
      <c r="J55" s="9">
        <v>38.6706</v>
      </c>
      <c r="K55" s="3" t="s">
        <v>208</v>
      </c>
      <c r="L55" s="3" t="s">
        <v>391</v>
      </c>
    </row>
    <row r="56" spans="1:12">
      <c r="A56" s="3">
        <v>52</v>
      </c>
      <c r="B56" s="6" t="s">
        <v>481</v>
      </c>
      <c r="C56" s="3" t="s">
        <v>482</v>
      </c>
      <c r="D56" s="3" t="s">
        <v>483</v>
      </c>
      <c r="E56" s="9">
        <v>57.838500000000003</v>
      </c>
      <c r="F56" s="9">
        <v>68.205699999999993</v>
      </c>
      <c r="G56" s="9">
        <v>27.941199999999998</v>
      </c>
      <c r="H56" s="9">
        <v>50</v>
      </c>
      <c r="I56" s="9">
        <v>100</v>
      </c>
      <c r="J56" s="9">
        <v>58.678400000000003</v>
      </c>
      <c r="K56" s="3" t="s">
        <v>208</v>
      </c>
      <c r="L56" s="3" t="s">
        <v>391</v>
      </c>
    </row>
    <row r="57" spans="1:12">
      <c r="A57" s="3">
        <v>53</v>
      </c>
      <c r="B57" s="6" t="s">
        <v>484</v>
      </c>
      <c r="C57" s="3" t="s">
        <v>485</v>
      </c>
      <c r="D57" s="3" t="s">
        <v>82</v>
      </c>
      <c r="E57" s="9">
        <v>57.826900000000002</v>
      </c>
      <c r="F57" s="9">
        <v>70.8797</v>
      </c>
      <c r="G57" s="9">
        <v>52.941200000000002</v>
      </c>
      <c r="H57" s="9">
        <v>50</v>
      </c>
      <c r="I57" s="9">
        <v>100</v>
      </c>
      <c r="J57" s="9">
        <v>12.478</v>
      </c>
      <c r="K57" s="3" t="s">
        <v>208</v>
      </c>
      <c r="L57" s="3" t="s">
        <v>391</v>
      </c>
    </row>
    <row r="58" spans="1:12">
      <c r="A58" s="3">
        <v>54</v>
      </c>
      <c r="B58" s="6" t="s">
        <v>486</v>
      </c>
      <c r="C58" s="3" t="s">
        <v>487</v>
      </c>
      <c r="D58" s="3" t="s">
        <v>410</v>
      </c>
      <c r="E58" s="9">
        <v>57.8172</v>
      </c>
      <c r="F58" s="9">
        <v>68.561199999999999</v>
      </c>
      <c r="G58" s="9">
        <v>47.486499999999999</v>
      </c>
      <c r="H58" s="9">
        <v>50</v>
      </c>
      <c r="I58" s="9">
        <v>85.697900000000004</v>
      </c>
      <c r="J58" s="9">
        <v>39.670299999999997</v>
      </c>
      <c r="K58" s="3" t="s">
        <v>208</v>
      </c>
      <c r="L58" s="3" t="s">
        <v>391</v>
      </c>
    </row>
    <row r="59" spans="1:12">
      <c r="A59" s="3">
        <v>55</v>
      </c>
      <c r="B59" s="6" t="s">
        <v>488</v>
      </c>
      <c r="C59" s="3" t="s">
        <v>489</v>
      </c>
      <c r="D59" s="3" t="s">
        <v>397</v>
      </c>
      <c r="E59" s="9">
        <v>57.796599999999998</v>
      </c>
      <c r="F59" s="9">
        <v>74.4495</v>
      </c>
      <c r="G59" s="9">
        <v>50.520200000000003</v>
      </c>
      <c r="H59" s="9">
        <v>50</v>
      </c>
      <c r="I59" s="9">
        <v>73.898799999999994</v>
      </c>
      <c r="J59" s="9">
        <v>36.462299999999999</v>
      </c>
      <c r="K59" s="3" t="s">
        <v>208</v>
      </c>
      <c r="L59" s="3" t="s">
        <v>391</v>
      </c>
    </row>
    <row r="60" spans="1:12">
      <c r="A60" s="3">
        <v>56</v>
      </c>
      <c r="B60" s="6" t="s">
        <v>490</v>
      </c>
      <c r="C60" s="3" t="s">
        <v>491</v>
      </c>
      <c r="D60" s="3" t="s">
        <v>76</v>
      </c>
      <c r="E60" s="9">
        <v>57.767000000000003</v>
      </c>
      <c r="F60" s="9">
        <v>62.816400000000002</v>
      </c>
      <c r="G60" s="9">
        <v>52.941200000000002</v>
      </c>
      <c r="H60" s="9">
        <v>50</v>
      </c>
      <c r="I60" s="9">
        <v>100</v>
      </c>
      <c r="J60" s="9">
        <v>25.517499999999998</v>
      </c>
      <c r="K60" s="3" t="s">
        <v>208</v>
      </c>
      <c r="L60" s="3" t="s">
        <v>391</v>
      </c>
    </row>
    <row r="61" spans="1:12">
      <c r="A61" s="3">
        <v>57</v>
      </c>
      <c r="B61" s="6" t="s">
        <v>95</v>
      </c>
      <c r="C61" s="3" t="s">
        <v>96</v>
      </c>
      <c r="D61" s="3" t="s">
        <v>97</v>
      </c>
      <c r="E61" s="9">
        <v>57.728900000000003</v>
      </c>
      <c r="F61" s="9">
        <v>70.761899999999997</v>
      </c>
      <c r="G61" s="9">
        <v>50.645499999999998</v>
      </c>
      <c r="H61" s="9">
        <v>50</v>
      </c>
      <c r="I61" s="9">
        <v>80.070099999999996</v>
      </c>
      <c r="J61" s="9">
        <v>35.776899999999998</v>
      </c>
      <c r="K61" s="3" t="s">
        <v>208</v>
      </c>
      <c r="L61" s="3" t="s">
        <v>208</v>
      </c>
    </row>
    <row r="62" spans="1:12">
      <c r="A62" s="3">
        <v>58</v>
      </c>
      <c r="B62" s="6" t="s">
        <v>492</v>
      </c>
      <c r="C62" s="3" t="s">
        <v>493</v>
      </c>
      <c r="D62" s="3" t="s">
        <v>79</v>
      </c>
      <c r="E62" s="9">
        <v>57.728299999999997</v>
      </c>
      <c r="F62" s="9">
        <v>76.200699999999998</v>
      </c>
      <c r="G62" s="9">
        <v>44.326999999999998</v>
      </c>
      <c r="H62" s="9">
        <v>50</v>
      </c>
      <c r="I62" s="9">
        <v>73.9756</v>
      </c>
      <c r="J62" s="9">
        <v>43.333399999999997</v>
      </c>
      <c r="K62" s="3" t="s">
        <v>208</v>
      </c>
      <c r="L62" s="3" t="s">
        <v>391</v>
      </c>
    </row>
    <row r="63" spans="1:12">
      <c r="A63" s="3">
        <v>59</v>
      </c>
      <c r="B63" s="6" t="s">
        <v>154</v>
      </c>
      <c r="C63" s="3" t="s">
        <v>155</v>
      </c>
      <c r="D63" s="3" t="s">
        <v>136</v>
      </c>
      <c r="E63" s="9">
        <v>57.7226</v>
      </c>
      <c r="F63" s="9">
        <v>72.672200000000004</v>
      </c>
      <c r="G63" s="9">
        <v>52.941200000000002</v>
      </c>
      <c r="H63" s="9">
        <v>50</v>
      </c>
      <c r="I63" s="9">
        <v>93.882599999999996</v>
      </c>
      <c r="J63" s="9">
        <v>14.9124</v>
      </c>
      <c r="K63" s="3" t="s">
        <v>208</v>
      </c>
      <c r="L63" s="3" t="s">
        <v>208</v>
      </c>
    </row>
    <row r="64" spans="1:12">
      <c r="A64" s="3">
        <v>60</v>
      </c>
      <c r="B64" s="6" t="s">
        <v>494</v>
      </c>
      <c r="C64" s="3" t="s">
        <v>495</v>
      </c>
      <c r="D64" s="3" t="s">
        <v>429</v>
      </c>
      <c r="E64" s="9">
        <v>57.6218</v>
      </c>
      <c r="F64" s="9">
        <v>73.602599999999995</v>
      </c>
      <c r="G64" s="9">
        <v>50.9572</v>
      </c>
      <c r="H64" s="9">
        <v>50</v>
      </c>
      <c r="I64" s="9">
        <v>79.769099999999995</v>
      </c>
      <c r="J64" s="9">
        <v>30.110199999999999</v>
      </c>
      <c r="K64" s="3" t="s">
        <v>208</v>
      </c>
      <c r="L64" s="3" t="s">
        <v>391</v>
      </c>
    </row>
    <row r="65" spans="1:12">
      <c r="A65" s="3">
        <v>61</v>
      </c>
      <c r="B65" s="6" t="s">
        <v>496</v>
      </c>
      <c r="C65" s="3" t="s">
        <v>497</v>
      </c>
      <c r="D65" s="3" t="s">
        <v>76</v>
      </c>
      <c r="E65" s="9">
        <v>57.617199999999997</v>
      </c>
      <c r="F65" s="9">
        <v>72.454099999999997</v>
      </c>
      <c r="G65" s="9">
        <v>46.7012</v>
      </c>
      <c r="H65" s="9">
        <v>50</v>
      </c>
      <c r="I65" s="9">
        <v>67.794799999999995</v>
      </c>
      <c r="J65" s="9">
        <v>51.061300000000003</v>
      </c>
      <c r="K65" s="3" t="s">
        <v>208</v>
      </c>
      <c r="L65" s="3" t="s">
        <v>391</v>
      </c>
    </row>
    <row r="66" spans="1:12">
      <c r="A66" s="3">
        <v>62</v>
      </c>
      <c r="B66" s="6" t="s">
        <v>498</v>
      </c>
      <c r="C66" s="3" t="s">
        <v>499</v>
      </c>
      <c r="D66" s="3" t="s">
        <v>79</v>
      </c>
      <c r="E66" s="9">
        <v>57.526299999999999</v>
      </c>
      <c r="F66" s="9">
        <v>78.609300000000005</v>
      </c>
      <c r="G66" s="9">
        <v>45.727200000000003</v>
      </c>
      <c r="H66" s="9">
        <v>50</v>
      </c>
      <c r="I66" s="9">
        <v>58.323</v>
      </c>
      <c r="J66" s="9">
        <v>51.291499999999999</v>
      </c>
      <c r="K66" s="3" t="s">
        <v>208</v>
      </c>
      <c r="L66" s="3" t="s">
        <v>391</v>
      </c>
    </row>
    <row r="67" spans="1:12">
      <c r="A67" s="3">
        <v>63</v>
      </c>
      <c r="B67" s="6" t="s">
        <v>500</v>
      </c>
      <c r="C67" s="3" t="s">
        <v>501</v>
      </c>
      <c r="D67" s="3" t="s">
        <v>413</v>
      </c>
      <c r="E67" s="9">
        <v>57.499499999999998</v>
      </c>
      <c r="F67" s="9">
        <v>70.443799999999996</v>
      </c>
      <c r="G67" s="9">
        <v>45.429499999999997</v>
      </c>
      <c r="H67" s="9">
        <v>50</v>
      </c>
      <c r="I67" s="9">
        <v>74.492800000000003</v>
      </c>
      <c r="J67" s="9">
        <v>49.048499999999997</v>
      </c>
      <c r="K67" s="3" t="s">
        <v>208</v>
      </c>
      <c r="L67" s="3" t="s">
        <v>391</v>
      </c>
    </row>
    <row r="68" spans="1:12">
      <c r="A68" s="3">
        <v>64</v>
      </c>
      <c r="B68" s="6" t="s">
        <v>502</v>
      </c>
      <c r="C68" s="3" t="s">
        <v>503</v>
      </c>
      <c r="D68" s="3" t="s">
        <v>413</v>
      </c>
      <c r="E68" s="9">
        <v>57.4099</v>
      </c>
      <c r="F68" s="9">
        <v>73.5929</v>
      </c>
      <c r="G68" s="9">
        <v>38.893799999999999</v>
      </c>
      <c r="H68" s="9">
        <v>50</v>
      </c>
      <c r="I68" s="9">
        <v>91.623699999999999</v>
      </c>
      <c r="J68" s="9">
        <v>36.964300000000001</v>
      </c>
      <c r="K68" s="3" t="s">
        <v>208</v>
      </c>
      <c r="L68" s="3" t="s">
        <v>391</v>
      </c>
    </row>
    <row r="69" spans="1:12">
      <c r="A69" s="3">
        <v>65</v>
      </c>
      <c r="B69" s="6" t="s">
        <v>504</v>
      </c>
      <c r="C69" s="3" t="s">
        <v>505</v>
      </c>
      <c r="D69" s="3" t="s">
        <v>141</v>
      </c>
      <c r="E69" s="9">
        <v>57.315399999999997</v>
      </c>
      <c r="F69" s="9">
        <v>72.733999999999995</v>
      </c>
      <c r="G69" s="9">
        <v>40.503</v>
      </c>
      <c r="H69" s="9">
        <v>50</v>
      </c>
      <c r="I69" s="9">
        <v>88.709500000000006</v>
      </c>
      <c r="J69" s="9">
        <v>37.9985</v>
      </c>
      <c r="K69" s="3" t="s">
        <v>208</v>
      </c>
      <c r="L69" s="3" t="s">
        <v>391</v>
      </c>
    </row>
    <row r="70" spans="1:12">
      <c r="A70" s="3">
        <v>66</v>
      </c>
      <c r="B70" s="6" t="s">
        <v>506</v>
      </c>
      <c r="C70" s="3" t="s">
        <v>507</v>
      </c>
      <c r="D70" s="3" t="s">
        <v>413</v>
      </c>
      <c r="E70" s="9">
        <v>57.315199999999997</v>
      </c>
      <c r="F70" s="9">
        <v>60.399099999999997</v>
      </c>
      <c r="G70" s="9">
        <v>52.941200000000002</v>
      </c>
      <c r="H70" s="9">
        <v>50</v>
      </c>
      <c r="I70" s="9">
        <v>100</v>
      </c>
      <c r="J70" s="9">
        <v>26.534199999999998</v>
      </c>
      <c r="K70" s="3" t="s">
        <v>208</v>
      </c>
      <c r="L70" s="3" t="s">
        <v>391</v>
      </c>
    </row>
    <row r="71" spans="1:12">
      <c r="A71" s="3">
        <v>67</v>
      </c>
      <c r="B71" s="6" t="s">
        <v>508</v>
      </c>
      <c r="C71" s="3" t="s">
        <v>509</v>
      </c>
      <c r="D71" s="3" t="s">
        <v>76</v>
      </c>
      <c r="E71" s="9">
        <v>57.290399999999998</v>
      </c>
      <c r="F71" s="9">
        <v>65.635599999999997</v>
      </c>
      <c r="G71" s="9">
        <v>46.454799999999999</v>
      </c>
      <c r="H71" s="9">
        <v>50</v>
      </c>
      <c r="I71" s="9">
        <v>100</v>
      </c>
      <c r="J71" s="9">
        <v>28.452000000000002</v>
      </c>
      <c r="K71" s="3" t="s">
        <v>208</v>
      </c>
      <c r="L71" s="3" t="s">
        <v>391</v>
      </c>
    </row>
    <row r="72" spans="1:12">
      <c r="A72" s="3">
        <v>68</v>
      </c>
      <c r="B72" s="6" t="s">
        <v>510</v>
      </c>
      <c r="C72" s="3" t="s">
        <v>511</v>
      </c>
      <c r="D72" s="3" t="s">
        <v>512</v>
      </c>
      <c r="E72" s="9">
        <v>57.1342</v>
      </c>
      <c r="F72" s="9">
        <v>75.647499999999994</v>
      </c>
      <c r="G72" s="9">
        <v>34.512500000000003</v>
      </c>
      <c r="H72" s="9">
        <v>50</v>
      </c>
      <c r="I72" s="9">
        <v>89.829700000000003</v>
      </c>
      <c r="J72" s="9">
        <v>40.798299999999998</v>
      </c>
      <c r="K72" s="3" t="s">
        <v>208</v>
      </c>
      <c r="L72" s="3" t="s">
        <v>391</v>
      </c>
    </row>
    <row r="73" spans="1:12">
      <c r="A73" s="3">
        <v>69</v>
      </c>
      <c r="B73" s="6" t="s">
        <v>513</v>
      </c>
      <c r="C73" s="3" t="s">
        <v>514</v>
      </c>
      <c r="D73" s="3" t="s">
        <v>397</v>
      </c>
      <c r="E73" s="9">
        <v>57.045000000000002</v>
      </c>
      <c r="F73" s="9">
        <v>68.042100000000005</v>
      </c>
      <c r="G73" s="9">
        <v>52.941200000000002</v>
      </c>
      <c r="H73" s="9">
        <v>50</v>
      </c>
      <c r="I73" s="9">
        <v>87.098200000000006</v>
      </c>
      <c r="J73" s="9">
        <v>24.896599999999999</v>
      </c>
      <c r="K73" s="3" t="s">
        <v>208</v>
      </c>
      <c r="L73" s="3" t="s">
        <v>391</v>
      </c>
    </row>
    <row r="74" spans="1:12">
      <c r="A74" s="3">
        <v>70</v>
      </c>
      <c r="B74" s="6" t="s">
        <v>515</v>
      </c>
      <c r="C74" s="3" t="s">
        <v>516</v>
      </c>
      <c r="D74" s="3" t="s">
        <v>517</v>
      </c>
      <c r="E74" s="9">
        <v>57.010100000000001</v>
      </c>
      <c r="F74" s="9">
        <v>69.399900000000002</v>
      </c>
      <c r="G74" s="9">
        <v>52.941200000000002</v>
      </c>
      <c r="H74" s="9">
        <v>50</v>
      </c>
      <c r="I74" s="9">
        <v>69.217100000000002</v>
      </c>
      <c r="J74" s="9">
        <v>40.281700000000001</v>
      </c>
      <c r="K74" s="3" t="s">
        <v>208</v>
      </c>
      <c r="L74" s="3" t="s">
        <v>391</v>
      </c>
    </row>
    <row r="75" spans="1:12">
      <c r="A75" s="3">
        <v>71</v>
      </c>
      <c r="B75" s="6" t="s">
        <v>518</v>
      </c>
      <c r="C75" s="3" t="s">
        <v>519</v>
      </c>
      <c r="D75" s="3" t="s">
        <v>520</v>
      </c>
      <c r="E75" s="9">
        <v>56.9983</v>
      </c>
      <c r="F75" s="9">
        <v>71.876499999999993</v>
      </c>
      <c r="G75" s="9">
        <v>52.941200000000002</v>
      </c>
      <c r="H75" s="9">
        <v>50</v>
      </c>
      <c r="I75" s="9">
        <v>100</v>
      </c>
      <c r="J75" s="9">
        <v>5.2926000000000002</v>
      </c>
      <c r="K75" s="3" t="s">
        <v>208</v>
      </c>
      <c r="L75" s="3" t="s">
        <v>391</v>
      </c>
    </row>
    <row r="76" spans="1:12">
      <c r="A76" s="3">
        <v>72</v>
      </c>
      <c r="B76" s="6" t="s">
        <v>521</v>
      </c>
      <c r="C76" s="3" t="s">
        <v>522</v>
      </c>
      <c r="D76" s="3" t="s">
        <v>136</v>
      </c>
      <c r="E76" s="9">
        <v>56.994399999999999</v>
      </c>
      <c r="F76" s="9">
        <v>71.820400000000006</v>
      </c>
      <c r="G76" s="9">
        <v>50.621600000000001</v>
      </c>
      <c r="H76" s="9">
        <v>50</v>
      </c>
      <c r="I76" s="9">
        <v>85.938400000000001</v>
      </c>
      <c r="J76" s="9">
        <v>23.287600000000001</v>
      </c>
      <c r="K76" s="3" t="s">
        <v>208</v>
      </c>
      <c r="L76" s="3" t="s">
        <v>391</v>
      </c>
    </row>
    <row r="77" spans="1:12">
      <c r="A77" s="3">
        <v>73</v>
      </c>
      <c r="B77" s="6" t="s">
        <v>523</v>
      </c>
      <c r="C77" s="3" t="s">
        <v>524</v>
      </c>
      <c r="D77" s="3" t="s">
        <v>397</v>
      </c>
      <c r="E77" s="9">
        <v>56.9893</v>
      </c>
      <c r="F77" s="9">
        <v>77.033000000000001</v>
      </c>
      <c r="G77" s="9">
        <v>27.941199999999998</v>
      </c>
      <c r="H77" s="9">
        <v>50</v>
      </c>
      <c r="I77" s="9">
        <v>97.403700000000001</v>
      </c>
      <c r="J77" s="9">
        <v>40.901200000000003</v>
      </c>
      <c r="K77" s="3" t="s">
        <v>208</v>
      </c>
      <c r="L77" s="3" t="s">
        <v>391</v>
      </c>
    </row>
    <row r="78" spans="1:12">
      <c r="A78" s="3">
        <v>74</v>
      </c>
      <c r="B78" s="6" t="s">
        <v>525</v>
      </c>
      <c r="C78" s="3" t="s">
        <v>526</v>
      </c>
      <c r="D78" s="3" t="s">
        <v>413</v>
      </c>
      <c r="E78" s="9">
        <v>56.750100000000003</v>
      </c>
      <c r="F78" s="9">
        <v>75.911000000000001</v>
      </c>
      <c r="G78" s="9">
        <v>46.411799999999999</v>
      </c>
      <c r="H78" s="9">
        <v>50</v>
      </c>
      <c r="I78" s="9">
        <v>64.988799999999998</v>
      </c>
      <c r="J78" s="9">
        <v>42.807099999999998</v>
      </c>
      <c r="K78" s="3" t="s">
        <v>208</v>
      </c>
      <c r="L78" s="3" t="s">
        <v>391</v>
      </c>
    </row>
    <row r="79" spans="1:12">
      <c r="A79" s="3">
        <v>75</v>
      </c>
      <c r="B79" s="6" t="s">
        <v>100</v>
      </c>
      <c r="C79" s="3" t="s">
        <v>101</v>
      </c>
      <c r="D79" s="3" t="s">
        <v>76</v>
      </c>
      <c r="E79" s="9">
        <v>56.736600000000003</v>
      </c>
      <c r="F79" s="9">
        <v>69.487899999999996</v>
      </c>
      <c r="G79" s="9">
        <v>52.941200000000002</v>
      </c>
      <c r="H79" s="9">
        <v>50</v>
      </c>
      <c r="I79" s="9">
        <v>96.089500000000001</v>
      </c>
      <c r="J79" s="9">
        <v>11.4396</v>
      </c>
      <c r="K79" s="3" t="s">
        <v>208</v>
      </c>
      <c r="L79" s="3" t="s">
        <v>208</v>
      </c>
    </row>
    <row r="80" spans="1:12">
      <c r="A80" s="3">
        <v>76</v>
      </c>
      <c r="B80" s="6" t="s">
        <v>527</v>
      </c>
      <c r="C80" s="3" t="s">
        <v>528</v>
      </c>
      <c r="D80" s="3" t="s">
        <v>76</v>
      </c>
      <c r="E80" s="9">
        <v>56.689900000000002</v>
      </c>
      <c r="F80" s="9">
        <v>74.079300000000003</v>
      </c>
      <c r="G80" s="9">
        <v>52.941200000000002</v>
      </c>
      <c r="H80" s="9">
        <v>50</v>
      </c>
      <c r="I80" s="9">
        <v>74.946700000000007</v>
      </c>
      <c r="J80" s="9">
        <v>24.6187</v>
      </c>
      <c r="K80" s="3" t="s">
        <v>208</v>
      </c>
      <c r="L80" s="3" t="s">
        <v>391</v>
      </c>
    </row>
    <row r="81" spans="1:12">
      <c r="A81" s="3">
        <v>77</v>
      </c>
      <c r="B81" s="6" t="s">
        <v>529</v>
      </c>
      <c r="C81" s="3" t="s">
        <v>530</v>
      </c>
      <c r="D81" s="3" t="s">
        <v>76</v>
      </c>
      <c r="E81" s="9">
        <v>56.555700000000002</v>
      </c>
      <c r="F81" s="9">
        <v>73.4846</v>
      </c>
      <c r="G81" s="9">
        <v>28.1266</v>
      </c>
      <c r="H81" s="9">
        <v>50</v>
      </c>
      <c r="I81" s="9">
        <v>100</v>
      </c>
      <c r="J81" s="9">
        <v>41.019500000000001</v>
      </c>
      <c r="K81" s="3" t="s">
        <v>208</v>
      </c>
      <c r="L81" s="3" t="s">
        <v>391</v>
      </c>
    </row>
    <row r="82" spans="1:12">
      <c r="A82" s="3">
        <v>78</v>
      </c>
      <c r="B82" s="6" t="s">
        <v>109</v>
      </c>
      <c r="C82" s="3" t="s">
        <v>110</v>
      </c>
      <c r="D82" s="3" t="s">
        <v>82</v>
      </c>
      <c r="E82" s="9">
        <v>56.433500000000002</v>
      </c>
      <c r="F82" s="9">
        <v>81.499200000000002</v>
      </c>
      <c r="G82" s="9">
        <v>36.091200000000001</v>
      </c>
      <c r="H82" s="9">
        <v>50</v>
      </c>
      <c r="I82" s="9">
        <v>56.9041</v>
      </c>
      <c r="J82" s="9">
        <v>56.668300000000002</v>
      </c>
      <c r="K82" s="3" t="s">
        <v>208</v>
      </c>
      <c r="L82" s="3" t="s">
        <v>208</v>
      </c>
    </row>
    <row r="83" spans="1:12">
      <c r="A83" s="3">
        <v>79</v>
      </c>
      <c r="B83" s="6" t="s">
        <v>531</v>
      </c>
      <c r="C83" s="3" t="s">
        <v>532</v>
      </c>
      <c r="D83" s="3" t="s">
        <v>397</v>
      </c>
      <c r="E83" s="9">
        <v>56.426400000000001</v>
      </c>
      <c r="F83" s="9">
        <v>75.264600000000002</v>
      </c>
      <c r="G83" s="9">
        <v>50.4617</v>
      </c>
      <c r="H83" s="9">
        <v>50</v>
      </c>
      <c r="I83" s="9">
        <v>58.877000000000002</v>
      </c>
      <c r="J83" s="9">
        <v>41.088200000000001</v>
      </c>
      <c r="K83" s="3" t="s">
        <v>208</v>
      </c>
      <c r="L83" s="3" t="s">
        <v>391</v>
      </c>
    </row>
    <row r="84" spans="1:12">
      <c r="A84" s="3">
        <v>80</v>
      </c>
      <c r="B84" s="6" t="s">
        <v>104</v>
      </c>
      <c r="C84" s="3" t="s">
        <v>105</v>
      </c>
      <c r="D84" s="3" t="s">
        <v>106</v>
      </c>
      <c r="E84" s="9">
        <v>56.414900000000003</v>
      </c>
      <c r="F84" s="9">
        <v>72.667199999999994</v>
      </c>
      <c r="G84" s="9">
        <v>39.180199999999999</v>
      </c>
      <c r="H84" s="9">
        <v>50</v>
      </c>
      <c r="I84" s="9">
        <v>81.0017</v>
      </c>
      <c r="J84" s="9">
        <v>42.018500000000003</v>
      </c>
      <c r="K84" s="3" t="s">
        <v>208</v>
      </c>
      <c r="L84" s="3" t="s">
        <v>208</v>
      </c>
    </row>
    <row r="85" spans="1:12">
      <c r="A85" s="3">
        <v>81</v>
      </c>
      <c r="B85" s="6" t="s">
        <v>533</v>
      </c>
      <c r="C85" s="3" t="s">
        <v>534</v>
      </c>
      <c r="D85" s="3" t="s">
        <v>69</v>
      </c>
      <c r="E85" s="9">
        <v>56.381700000000002</v>
      </c>
      <c r="F85" s="9">
        <v>70.697699999999998</v>
      </c>
      <c r="G85" s="9">
        <v>52.941200000000002</v>
      </c>
      <c r="H85" s="9">
        <v>50</v>
      </c>
      <c r="I85" s="9">
        <v>95.491600000000005</v>
      </c>
      <c r="J85" s="9">
        <v>7.6551999999999998</v>
      </c>
      <c r="K85" s="3" t="s">
        <v>208</v>
      </c>
      <c r="L85" s="3" t="s">
        <v>391</v>
      </c>
    </row>
    <row r="86" spans="1:12">
      <c r="A86" s="3">
        <v>82</v>
      </c>
      <c r="B86" s="6" t="s">
        <v>113</v>
      </c>
      <c r="C86" s="3" t="s">
        <v>114</v>
      </c>
      <c r="D86" s="3" t="s">
        <v>69</v>
      </c>
      <c r="E86" s="9">
        <v>56.3752</v>
      </c>
      <c r="F86" s="9">
        <v>71.946600000000004</v>
      </c>
      <c r="G86" s="9">
        <v>46.796799999999998</v>
      </c>
      <c r="H86" s="9">
        <v>50</v>
      </c>
      <c r="I86" s="9">
        <v>94.062399999999997</v>
      </c>
      <c r="J86" s="9">
        <v>17.1996</v>
      </c>
      <c r="K86" s="3" t="s">
        <v>208</v>
      </c>
      <c r="L86" s="3" t="s">
        <v>208</v>
      </c>
    </row>
    <row r="87" spans="1:12">
      <c r="A87" s="3">
        <v>83</v>
      </c>
      <c r="B87" s="6" t="s">
        <v>535</v>
      </c>
      <c r="C87" s="3" t="s">
        <v>536</v>
      </c>
      <c r="D87" s="3" t="s">
        <v>483</v>
      </c>
      <c r="E87" s="9">
        <v>56.322899999999997</v>
      </c>
      <c r="F87" s="9">
        <v>74.419200000000004</v>
      </c>
      <c r="G87" s="9">
        <v>27.941199999999998</v>
      </c>
      <c r="H87" s="9">
        <v>50</v>
      </c>
      <c r="I87" s="9">
        <v>93.085099999999997</v>
      </c>
      <c r="J87" s="9">
        <v>45.133400000000002</v>
      </c>
      <c r="K87" s="3" t="s">
        <v>208</v>
      </c>
      <c r="L87" s="3" t="s">
        <v>391</v>
      </c>
    </row>
    <row r="88" spans="1:12">
      <c r="A88" s="3">
        <v>84</v>
      </c>
      <c r="B88" s="6" t="s">
        <v>537</v>
      </c>
      <c r="C88" s="3" t="s">
        <v>538</v>
      </c>
      <c r="D88" s="3" t="s">
        <v>439</v>
      </c>
      <c r="E88" s="9">
        <v>56.226500000000001</v>
      </c>
      <c r="F88" s="9">
        <v>67.944800000000001</v>
      </c>
      <c r="G88" s="9">
        <v>52.637</v>
      </c>
      <c r="H88" s="9">
        <v>50</v>
      </c>
      <c r="I88" s="9">
        <v>91.489599999999996</v>
      </c>
      <c r="J88" s="9">
        <v>15.717599999999999</v>
      </c>
      <c r="K88" s="3" t="s">
        <v>208</v>
      </c>
      <c r="L88" s="3" t="s">
        <v>391</v>
      </c>
    </row>
    <row r="89" spans="1:12">
      <c r="A89" s="3">
        <v>85</v>
      </c>
      <c r="B89" s="6" t="s">
        <v>539</v>
      </c>
      <c r="C89" s="3" t="s">
        <v>540</v>
      </c>
      <c r="D89" s="3" t="s">
        <v>97</v>
      </c>
      <c r="E89" s="9">
        <v>56.162100000000002</v>
      </c>
      <c r="F89" s="9">
        <v>76.923199999999994</v>
      </c>
      <c r="G89" s="9">
        <v>36.705800000000004</v>
      </c>
      <c r="H89" s="9">
        <v>50</v>
      </c>
      <c r="I89" s="9">
        <v>82.357900000000001</v>
      </c>
      <c r="J89" s="9">
        <v>36.007599999999996</v>
      </c>
      <c r="K89" s="3" t="s">
        <v>208</v>
      </c>
      <c r="L89" s="3" t="s">
        <v>391</v>
      </c>
    </row>
    <row r="90" spans="1:12">
      <c r="A90" s="3">
        <v>86</v>
      </c>
      <c r="B90" s="6" t="s">
        <v>541</v>
      </c>
      <c r="C90" s="3" t="s">
        <v>542</v>
      </c>
      <c r="D90" s="3" t="s">
        <v>458</v>
      </c>
      <c r="E90" s="9">
        <v>56.088000000000001</v>
      </c>
      <c r="F90" s="9">
        <v>76.8429</v>
      </c>
      <c r="G90" s="9">
        <v>44.910499999999999</v>
      </c>
      <c r="H90" s="9">
        <v>50</v>
      </c>
      <c r="I90" s="9">
        <v>59.601700000000001</v>
      </c>
      <c r="J90" s="9">
        <v>44.728999999999999</v>
      </c>
      <c r="K90" s="3" t="s">
        <v>208</v>
      </c>
      <c r="L90" s="3" t="s">
        <v>391</v>
      </c>
    </row>
    <row r="91" spans="1:12">
      <c r="A91" s="3">
        <v>87</v>
      </c>
      <c r="B91" s="6" t="s">
        <v>543</v>
      </c>
      <c r="C91" s="3" t="s">
        <v>544</v>
      </c>
      <c r="D91" s="3" t="s">
        <v>410</v>
      </c>
      <c r="E91" s="9">
        <v>56.051400000000001</v>
      </c>
      <c r="F91" s="9">
        <v>71.348200000000006</v>
      </c>
      <c r="G91" s="9">
        <v>27.941199999999998</v>
      </c>
      <c r="H91" s="9">
        <v>50</v>
      </c>
      <c r="I91" s="9">
        <v>97.834599999999995</v>
      </c>
      <c r="J91" s="9">
        <v>43.692300000000003</v>
      </c>
      <c r="K91" s="3" t="s">
        <v>208</v>
      </c>
      <c r="L91" s="3" t="s">
        <v>391</v>
      </c>
    </row>
    <row r="92" spans="1:12">
      <c r="A92" s="3">
        <v>88</v>
      </c>
      <c r="B92" s="6" t="s">
        <v>117</v>
      </c>
      <c r="C92" s="3" t="s">
        <v>118</v>
      </c>
      <c r="D92" s="3" t="s">
        <v>76</v>
      </c>
      <c r="E92" s="9">
        <v>56.0398</v>
      </c>
      <c r="F92" s="9">
        <v>69.787300000000002</v>
      </c>
      <c r="G92" s="9">
        <v>48.6965</v>
      </c>
      <c r="H92" s="9">
        <v>50</v>
      </c>
      <c r="I92" s="9">
        <v>67.668999999999997</v>
      </c>
      <c r="J92" s="9">
        <v>41.790300000000002</v>
      </c>
      <c r="K92" s="3" t="s">
        <v>208</v>
      </c>
      <c r="L92" s="3" t="s">
        <v>208</v>
      </c>
    </row>
    <row r="93" spans="1:12">
      <c r="A93" s="3">
        <v>89</v>
      </c>
      <c r="B93" s="6" t="s">
        <v>545</v>
      </c>
      <c r="C93" s="3" t="s">
        <v>546</v>
      </c>
      <c r="D93" s="3" t="s">
        <v>397</v>
      </c>
      <c r="E93" s="9">
        <v>56.002299999999998</v>
      </c>
      <c r="F93" s="9">
        <v>76.000900000000001</v>
      </c>
      <c r="G93" s="9">
        <v>52.941200000000002</v>
      </c>
      <c r="H93" s="9">
        <v>50</v>
      </c>
      <c r="I93" s="9">
        <v>67.186000000000007</v>
      </c>
      <c r="J93" s="9">
        <v>24.592700000000001</v>
      </c>
      <c r="K93" s="3" t="s">
        <v>208</v>
      </c>
      <c r="L93" s="3" t="s">
        <v>391</v>
      </c>
    </row>
    <row r="94" spans="1:12">
      <c r="A94" s="3">
        <v>90</v>
      </c>
      <c r="B94" s="6" t="s">
        <v>547</v>
      </c>
      <c r="C94" s="3" t="s">
        <v>548</v>
      </c>
      <c r="D94" s="3" t="s">
        <v>458</v>
      </c>
      <c r="E94" s="9">
        <v>56.000999999999998</v>
      </c>
      <c r="F94" s="9">
        <v>79.921300000000002</v>
      </c>
      <c r="G94" s="9">
        <v>40.106499999999997</v>
      </c>
      <c r="H94" s="9">
        <v>50</v>
      </c>
      <c r="I94" s="9">
        <v>62.928400000000003</v>
      </c>
      <c r="J94" s="9">
        <v>43.698900000000002</v>
      </c>
      <c r="K94" s="3" t="s">
        <v>208</v>
      </c>
      <c r="L94" s="3" t="s">
        <v>391</v>
      </c>
    </row>
    <row r="95" spans="1:12">
      <c r="A95" s="3">
        <v>91</v>
      </c>
      <c r="B95" s="6" t="s">
        <v>549</v>
      </c>
      <c r="C95" s="3" t="s">
        <v>550</v>
      </c>
      <c r="D95" s="3" t="s">
        <v>551</v>
      </c>
      <c r="E95" s="9">
        <v>55.992899999999999</v>
      </c>
      <c r="F95" s="9">
        <v>75.915000000000006</v>
      </c>
      <c r="G95" s="9">
        <v>27.941199999999998</v>
      </c>
      <c r="H95" s="9">
        <v>50</v>
      </c>
      <c r="I95" s="9">
        <v>94.745699999999999</v>
      </c>
      <c r="J95" s="9">
        <v>38.779899999999998</v>
      </c>
      <c r="K95" s="3" t="s">
        <v>208</v>
      </c>
      <c r="L95" s="3" t="s">
        <v>391</v>
      </c>
    </row>
    <row r="96" spans="1:12">
      <c r="A96" s="3">
        <v>92</v>
      </c>
      <c r="B96" s="6" t="s">
        <v>552</v>
      </c>
      <c r="C96" s="3" t="s">
        <v>553</v>
      </c>
      <c r="D96" s="3" t="s">
        <v>554</v>
      </c>
      <c r="E96" s="9">
        <v>55.865200000000002</v>
      </c>
      <c r="F96" s="9">
        <v>77.183099999999996</v>
      </c>
      <c r="G96" s="9">
        <v>45.066499999999998</v>
      </c>
      <c r="H96" s="9">
        <v>50</v>
      </c>
      <c r="I96" s="9">
        <v>71.785899999999998</v>
      </c>
      <c r="J96" s="9">
        <v>30.232700000000001</v>
      </c>
      <c r="K96" s="3" t="s">
        <v>208</v>
      </c>
      <c r="L96" s="3" t="s">
        <v>391</v>
      </c>
    </row>
    <row r="97" spans="1:12">
      <c r="A97" s="3">
        <v>93</v>
      </c>
      <c r="B97" s="6" t="s">
        <v>555</v>
      </c>
      <c r="C97" s="3" t="s">
        <v>556</v>
      </c>
      <c r="D97" s="3" t="s">
        <v>557</v>
      </c>
      <c r="E97" s="9">
        <v>55.788200000000003</v>
      </c>
      <c r="F97" s="9">
        <v>74.856200000000001</v>
      </c>
      <c r="G97" s="9">
        <v>25.037800000000001</v>
      </c>
      <c r="H97" s="9">
        <v>50</v>
      </c>
      <c r="I97" s="9">
        <v>100</v>
      </c>
      <c r="J97" s="9">
        <v>38.764600000000002</v>
      </c>
      <c r="K97" s="3" t="s">
        <v>208</v>
      </c>
      <c r="L97" s="3" t="s">
        <v>391</v>
      </c>
    </row>
    <row r="98" spans="1:12">
      <c r="A98" s="3">
        <v>94</v>
      </c>
      <c r="B98" s="6" t="s">
        <v>558</v>
      </c>
      <c r="C98" s="3" t="s">
        <v>559</v>
      </c>
      <c r="D98" s="3" t="s">
        <v>69</v>
      </c>
      <c r="E98" s="9">
        <v>55.776400000000002</v>
      </c>
      <c r="F98" s="9">
        <v>69.522400000000005</v>
      </c>
      <c r="G98" s="9">
        <v>38.882199999999997</v>
      </c>
      <c r="H98" s="9">
        <v>50</v>
      </c>
      <c r="I98" s="9">
        <v>77.932699999999997</v>
      </c>
      <c r="J98" s="9">
        <v>46.568899999999999</v>
      </c>
      <c r="K98" s="3" t="s">
        <v>208</v>
      </c>
      <c r="L98" s="3" t="s">
        <v>391</v>
      </c>
    </row>
    <row r="99" spans="1:12">
      <c r="A99" s="3">
        <v>95</v>
      </c>
      <c r="B99" s="6" t="s">
        <v>121</v>
      </c>
      <c r="C99" s="3" t="s">
        <v>122</v>
      </c>
      <c r="D99" s="3" t="s">
        <v>123</v>
      </c>
      <c r="E99" s="9">
        <v>55.7712</v>
      </c>
      <c r="F99" s="9">
        <v>68.790000000000006</v>
      </c>
      <c r="G99" s="9">
        <v>52.941200000000002</v>
      </c>
      <c r="H99" s="9">
        <v>50</v>
      </c>
      <c r="I99" s="9">
        <v>57.212800000000001</v>
      </c>
      <c r="J99" s="9">
        <v>45.042999999999999</v>
      </c>
      <c r="K99" s="3" t="s">
        <v>208</v>
      </c>
      <c r="L99" s="3" t="s">
        <v>208</v>
      </c>
    </row>
    <row r="100" spans="1:12">
      <c r="A100" s="3">
        <v>96</v>
      </c>
      <c r="B100" s="6" t="s">
        <v>560</v>
      </c>
      <c r="C100" s="3" t="s">
        <v>561</v>
      </c>
      <c r="D100" s="3" t="s">
        <v>69</v>
      </c>
      <c r="E100" s="9">
        <v>55.735100000000003</v>
      </c>
      <c r="F100" s="9">
        <v>74.405100000000004</v>
      </c>
      <c r="G100" s="9">
        <v>52.941200000000002</v>
      </c>
      <c r="H100" s="9">
        <v>50</v>
      </c>
      <c r="I100" s="9">
        <v>81.069699999999997</v>
      </c>
      <c r="J100" s="9">
        <v>11.587199999999999</v>
      </c>
      <c r="K100" s="3" t="s">
        <v>208</v>
      </c>
      <c r="L100" s="3" t="s">
        <v>391</v>
      </c>
    </row>
    <row r="101" spans="1:12">
      <c r="A101" s="3">
        <v>97</v>
      </c>
      <c r="B101" s="6" t="s">
        <v>127</v>
      </c>
      <c r="C101" s="3" t="s">
        <v>128</v>
      </c>
      <c r="D101" s="3" t="s">
        <v>97</v>
      </c>
      <c r="E101" s="9">
        <v>55.725900000000003</v>
      </c>
      <c r="F101" s="9">
        <v>75.796800000000005</v>
      </c>
      <c r="G101" s="9">
        <v>51.669499999999999</v>
      </c>
      <c r="H101" s="9">
        <v>50</v>
      </c>
      <c r="I101" s="9">
        <v>74.408799999999999</v>
      </c>
      <c r="J101" s="9">
        <v>17.986499999999999</v>
      </c>
      <c r="K101" s="3" t="s">
        <v>208</v>
      </c>
      <c r="L101" s="3" t="s">
        <v>208</v>
      </c>
    </row>
    <row r="102" spans="1:12">
      <c r="A102" s="3">
        <v>98</v>
      </c>
      <c r="B102" s="6" t="s">
        <v>562</v>
      </c>
      <c r="C102" s="3" t="s">
        <v>563</v>
      </c>
      <c r="D102" s="3" t="s">
        <v>410</v>
      </c>
      <c r="E102" s="9">
        <v>55.717599999999997</v>
      </c>
      <c r="F102" s="9">
        <v>61.959200000000003</v>
      </c>
      <c r="G102" s="9">
        <v>52.941200000000002</v>
      </c>
      <c r="H102" s="9">
        <v>50</v>
      </c>
      <c r="I102" s="9">
        <v>100</v>
      </c>
      <c r="J102" s="9">
        <v>13.2834</v>
      </c>
      <c r="K102" s="3" t="s">
        <v>208</v>
      </c>
      <c r="L102" s="3" t="s">
        <v>391</v>
      </c>
    </row>
    <row r="103" spans="1:12">
      <c r="A103" s="3">
        <v>99</v>
      </c>
      <c r="B103" s="6" t="s">
        <v>564</v>
      </c>
      <c r="C103" s="3" t="s">
        <v>565</v>
      </c>
      <c r="D103" s="3" t="s">
        <v>483</v>
      </c>
      <c r="E103" s="9">
        <v>55.7042</v>
      </c>
      <c r="F103" s="9">
        <v>80.496499999999997</v>
      </c>
      <c r="G103" s="9">
        <v>38.354300000000002</v>
      </c>
      <c r="H103" s="9">
        <v>50</v>
      </c>
      <c r="I103" s="9">
        <v>78.930099999999996</v>
      </c>
      <c r="J103" s="9">
        <v>27.679600000000001</v>
      </c>
      <c r="K103" s="3" t="s">
        <v>208</v>
      </c>
      <c r="L103" s="3" t="s">
        <v>391</v>
      </c>
    </row>
    <row r="104" spans="1:12">
      <c r="A104" s="4">
        <v>100</v>
      </c>
      <c r="B104" s="7" t="s">
        <v>566</v>
      </c>
      <c r="C104" s="4" t="s">
        <v>567</v>
      </c>
      <c r="D104" s="4" t="s">
        <v>397</v>
      </c>
      <c r="E104" s="10">
        <v>55.680399999999999</v>
      </c>
      <c r="F104" s="10">
        <v>79.887500000000003</v>
      </c>
      <c r="G104" s="10">
        <v>33.256799999999998</v>
      </c>
      <c r="H104" s="10">
        <v>50</v>
      </c>
      <c r="I104" s="10">
        <v>64.83</v>
      </c>
      <c r="J104" s="10">
        <v>51.132199999999997</v>
      </c>
      <c r="K104" s="4" t="s">
        <v>208</v>
      </c>
      <c r="L104" s="4" t="s">
        <v>391</v>
      </c>
    </row>
  </sheetData>
  <mergeCells count="2">
    <mergeCell ref="A1:L2"/>
    <mergeCell ref="A3:L3"/>
  </mergeCells>
  <phoneticPr fontId="9" type="noConversion"/>
  <conditionalFormatting sqref="E5:E104">
    <cfRule type="colorScale" priority="1">
      <colorScale>
        <cfvo type="min"/>
        <cfvo type="percentile" val="50"/>
        <cfvo type="max"/>
        <color rgb="FFF4CCCC"/>
        <color rgb="FFFFF2CC"/>
        <color rgb="FFC6E0B4"/>
      </colorScale>
    </cfRule>
  </conditionalFormatting>
  <conditionalFormatting sqref="L5:L104">
    <cfRule type="containsText" dxfId="0" priority="2" operator="containsText" text="是"/>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今日概览</vt:lpstr>
      <vt:lpstr>重点候选</vt:lpstr>
      <vt:lpstr>挂单与仓位</vt:lpstr>
      <vt:lpstr>基本面摘要</vt:lpstr>
      <vt:lpstr>量化前100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cp:lastModifiedBy>
  <dcterms:modified xsi:type="dcterms:W3CDTF">2026-07-10T14:38:54Z</dcterms:modified>
</cp:coreProperties>
</file>